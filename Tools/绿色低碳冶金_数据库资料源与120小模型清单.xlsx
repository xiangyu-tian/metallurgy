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4bb3fc542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实施建议" sheetId="1" r:id="R8fdf1733573b4666"/>
    <x:sheet xmlns:r="http://schemas.openxmlformats.org/officeDocument/2006/relationships" name="01_数据库资料源" sheetId="2" r:id="R047379000edb46f0"/>
    <x:sheet xmlns:r="http://schemas.openxmlformats.org/officeDocument/2006/relationships" name="02_小模型清单120" sheetId="3" r:id="R1afb7a84d6c94179"/>
    <x:sheet xmlns:r="http://schemas.openxmlformats.org/officeDocument/2006/relationships" name="03_数据表结构" sheetId="4" r:id="R1bd8bc3817364b04"/>
    <x:sheet xmlns:r="http://schemas.openxmlformats.org/officeDocument/2006/relationships" name="04_样板调用链" sheetId="5" r:id="R40cddddeb22c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5324B"/>
      <x:name val="Carlito"/>
    </x:font>
    <x:font>
      <x:b/>
      <x:sz val="10"/>
      <x:color rgb="FFFFFFFF"/>
      <x:name val="Carlito"/>
    </x:font>
    <x:font>
      <x:sz val="9"/>
      <x:color rgb="FF1D2939"/>
      <x:name val="Carlito"/>
    </x:font>
    <x:font>
      <x:b/>
      <x:sz val="9"/>
      <x:color rgb="FF15324B"/>
      <x:name val="Carlito"/>
    </x:font>
    <x:font>
      <x:b/>
      <x:sz val="14"/>
      <x:color rgb="FF0F766E"/>
      <x:name val="Carlito"/>
    </x:font>
    <x:font>
      <x:b/>
      <x:sz val="11"/>
      <x:color rgb="FF7A2E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DFF5F1"/>
      </x:patternFill>
    </x:fill>
    <x:fill>
      <x:patternFill patternType="solid">
        <x:fgColor rgb="FF0F766E"/>
      </x:patternFill>
    </x:fill>
    <x:fill>
      <x:patternFill patternType="solid">
        <x:fgColor rgb="FFE8F1F8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FF0D9"/>
        </x:patternFill>
      </x:fill>
    </x:dxf>
    <x:dxf>
      <x:fill>
        <x:patternFill patternType="solid">
          <x:bgColor rgb="FFFDE8E8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FF0D9"/>
        </x:patternFill>
      </x:fill>
    </x:dxf>
    <x:dxf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863edddbc480f" /><Relationship Type="http://schemas.openxmlformats.org/officeDocument/2006/relationships/theme" Target="/xl/theme/theme1.xml" Id="Re5f9ed180da2481c" /><Relationship Type="http://schemas.openxmlformats.org/officeDocument/2006/relationships/sharedStrings" Target="/xl/sharedStrings.xml" Id="R6aff3045d6ce4b9c" /><Relationship Type="http://schemas.openxmlformats.org/officeDocument/2006/relationships/worksheet" Target="/xl/worksheets/sheet1.xml" Id="R8fdf1733573b4666" /><Relationship Type="http://schemas.openxmlformats.org/officeDocument/2006/relationships/worksheet" Target="/xl/worksheets/sheet2.xml" Id="R047379000edb46f0" /><Relationship Type="http://schemas.openxmlformats.org/officeDocument/2006/relationships/worksheet" Target="/xl/worksheets/sheet3.xml" Id="R1afb7a84d6c94179" /><Relationship Type="http://schemas.openxmlformats.org/officeDocument/2006/relationships/worksheet" Target="/xl/worksheets/sheet4.xml" Id="R1bd8bc3817364b04" /><Relationship Type="http://schemas.openxmlformats.org/officeDocument/2006/relationships/worksheet" Target="/xl/worksheets/sheet5.xml" Id="R40cddddeb22c42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4c73af650d4f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120个小模型的场景分布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模型数量</c:v>
          </c:tx>
          <c:cat>
            <c:strRef>
              <c:f>'00_实施建议'!$A$19:$A$25</c:f>
              <c:strCache>
                <c:ptCount val="0"/>
              </c:strCache>
            </c:strRef>
          </c:cat>
          <c:val>
            <c:numRef>
              <c:f>'00_实施建议'!$B$19:$B$25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4c73af650d4f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SourcesTable" displayName="DataSourcesTable" ref="A1:L45" headerRowCount="1">
  <x:tableColumns count="12">
    <x:tableColumn id="1" name="资料ID"/>
    <x:tableColumn id="2" name="一级类别"/>
    <x:tableColumn id="3" name="资料源"/>
    <x:tableColumn id="4" name="机构"/>
    <x:tableColumn id="5" name="可填充内容"/>
    <x:tableColumn id="6" name="访问方式"/>
    <x:tableColumn id="7" name="开放性/许可"/>
    <x:tableColumn id="8" name="推荐入库层"/>
    <x:tableColumn id="9" name="入库策略"/>
    <x:tableColumn id="10" name="优先级"/>
    <x:tableColumn id="11" name="风险/备注"/>
    <x:tableColumn id="12" name="URL"/>
  </x:tableColumns>
  <x:tableStyleInfo name="TableStyleMedium2" showRowStripes="1"/>
</x:table>
</file>

<file path=xl/tables/table2.xml><?xml version="1.0" encoding="utf-8"?>
<x:table xmlns:x="http://schemas.openxmlformats.org/spreadsheetml/2006/main" id="2" name="Models120Table" displayName="Models120Table" ref="A1:P121" headerRowCount="1">
  <x:tableColumns count="16">
    <x:tableColumn id="1" name="模型ID"/>
    <x:tableColumn id="2" name="场景"/>
    <x:tableColumn id="3" name="模型/工具名称"/>
    <x:tableColumn id="4" name="类型"/>
    <x:tableColumn id="5" name="核心方法"/>
    <x:tableColumn id="6" name="主要输入"/>
    <x:tableColumn id="7" name="主要输出"/>
    <x:tableColumn id="8" name="是否需训练"/>
    <x:tableColumn id="9" name="数据依赖"/>
    <x:tableColumn id="10" name="实现建议"/>
    <x:tableColumn id="11" name="参考资料ID"/>
    <x:tableColumn id="12" name="优先级"/>
    <x:tableColumn id="13" name="开发难度"/>
    <x:tableColumn id="14" name="验证方式"/>
    <x:tableColumn id="15" name="适用边界/风险"/>
    <x:tableColumn id="16" name="API函数名"/>
  </x:tableColumns>
  <x:tableStyleInfo name="TableStyleMedium2" showRowStripes="1"/>
</x:table>
</file>

<file path=xl/tables/table3.xml><?xml version="1.0" encoding="utf-8"?>
<x:table xmlns:x="http://schemas.openxmlformats.org/spreadsheetml/2006/main" id="3" name="DatabaseSchemaTable" displayName="DatabaseSchemaTable" ref="A1:F82" headerRowCount="1">
  <x:tableColumns count="6">
    <x:tableColumn id="1" name="表名"/>
    <x:tableColumn id="2" name="字段名"/>
    <x:tableColumn id="3" name="数据类型"/>
    <x:tableColumn id="4" name="必填"/>
    <x:tableColumn id="5" name="示例"/>
    <x:tableColumn id="6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DemoWorkflowTable" displayName="DemoWorkflowTable" ref="A1:G6" headerRowCount="1">
  <x:tableColumns count="7">
    <x:tableColumn id="1" name="样板"/>
    <x:tableColumn id="2" name="场景"/>
    <x:tableColumn id="3" name="输入"/>
    <x:tableColumn id="4" name="建议调用链"/>
    <x:tableColumn id="5" name="输出"/>
    <x:tableColumn id="6" name="关键校验"/>
    <x:tableColumn id="7" name="最小实施范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2831c61a2249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f6eece3a7c46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5f4d05ad484b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08217042884a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6c258a5cde451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4" hidden="0" customWidth="1"/>
    <x:col min="4" max="4" width="30" hidden="0" customWidth="1"/>
    <x:col min="5" max="5" width="24" hidden="0" customWidth="1"/>
    <x:col min="6" max="6" width="24" hidden="0" customWidth="1"/>
    <x:col min="7" max="7" width="16" hidden="0" customWidth="1"/>
    <x:col min="8" max="8" width="24" hidden="0" customWidth="1"/>
  </x:cols>
  <x:sheetData>
    <x:row r="1" ht="28" customHeight="1">
      <x:c r="A1" s="5" t="str">
        <x:v>绿色低碳冶金数据库资料源与120个专业小模型实施清单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36" customHeight="1">
      <x:c r="A3" s="13" t="str">
        <x:v>核心原则：这里的“小模型”按可注册、可调用、可校验的专业工具定义；大多数是公式、规则、优化器或仿真封装，不是120个神经网络。</x:v>
      </x:c>
      <x:c r="B3" s="13" t="str"/>
      <x:c r="C3" s="13" t="str"/>
      <x:c r="D3" s="13" t="str"/>
      <x:c r="E3" s="13" t="str"/>
      <x:c r="F3" s="13" t="str"/>
      <x:c r="G3" s="13" t="str"/>
      <x:c r="H3" s="13" t="str"/>
    </x:row>
    <x:row r="5">
      <x:c r="A5" s="22" t="str">
        <x:v>指标</x:v>
      </x:c>
      <x:c r="B5" s="22" t="str">
        <x:v>数值</x:v>
      </x:c>
      <x:c r="C5" s="22" t="str">
        <x:v>建议</x:v>
      </x:c>
      <x:c r="D5" s="22" t="str">
        <x:v>说明</x:v>
      </x:c>
    </x:row>
    <x:row r="6">
      <x:c r="A6" s="36" t="str">
        <x:v>资料源数量</x:v>
      </x:c>
      <x:c r="B6" s="43" t="n">
        <x:f>COUNTA('01_数据库资料源'!A2:A200)</x:f>
        <x:v>44</x:v>
      </x:c>
      <x:c r="C6" s="30" t="str">
        <x:v>先建目录与许可字段</x:v>
      </x:c>
      <x:c r="D6" s="30" t="str">
        <x:v>44个来源分为公开、仅元数据/链接、需授权/内部数据</x:v>
      </x:c>
    </x:row>
    <x:row r="7">
      <x:c r="A7" s="36" t="str">
        <x:v>小模型总数</x:v>
      </x:c>
      <x:c r="B7" s="43" t="n">
        <x:f>COUNTA('02_小模型清单120'!A2:A200)</x:f>
        <x:v>120</x:v>
      </x:c>
      <x:c r="C7" s="30" t="str">
        <x:v>按统一Tool Schema注册</x:v>
      </x:c>
      <x:c r="D7" s="30" t="str">
        <x:v>每个模型必须有输入、输出、边界、版本、日志、验证</x:v>
      </x:c>
    </x:row>
    <x:row r="8">
      <x:c r="A8" s="36" t="str">
        <x:v>P0首批</x:v>
      </x:c>
      <x:c r="B8" s="43" t="n">
        <x:f>COUNTIF('02_小模型清单120'!L2:L200,"P0")</x:f>
        <x:v>30</x:v>
      </x:c>
      <x:c r="C8" s="30" t="str">
        <x:v>立即开发</x:v>
      </x:c>
      <x:c r="D8" s="30" t="str">
        <x:v>30个；优先守恒、热力学基础、转炉/高炉/连铸基础计算</x:v>
      </x:c>
    </x:row>
    <x:row r="9">
      <x:c r="A9" s="36" t="str">
        <x:v>P1第二批</x:v>
      </x:c>
      <x:c r="B9" s="43" t="n">
        <x:f>COUNTIF('02_小模型清单120'!L2:L200,"P1")</x:f>
        <x:v>50</x:v>
      </x:c>
      <x:c r="C9" s="30" t="str">
        <x:v>数据成熟后开发</x:v>
      </x:c>
      <x:c r="D9" s="30" t="str">
        <x:v>50个；需要过程数据、参数标定或较复杂数值求解</x:v>
      </x:c>
    </x:row>
    <x:row r="10">
      <x:c r="A10" s="36" t="str">
        <x:v>P2后续批</x:v>
      </x:c>
      <x:c r="B10" s="43" t="n">
        <x:f>COUNTIF('02_小模型清单120'!L2:L200,"P2")</x:f>
        <x:v>40</x:v>
      </x:c>
      <x:c r="C10" s="30" t="str">
        <x:v>按论文/样板需要开发</x:v>
      </x:c>
      <x:c r="D10" s="30" t="str">
        <x:v>40个；高复杂度优化、CFD、代理模型、智能体路由</x:v>
      </x:c>
    </x:row>
    <x:row r="12" ht="55" customHeight="1">
      <x:c r="A12" s="22" t="str">
        <x:v>实施阶段</x:v>
      </x:c>
      <x:c r="B12" s="22" t="str">
        <x:v>目标</x:v>
      </x:c>
      <x:c r="C12" s="22" t="str">
        <x:v>交付物</x:v>
      </x:c>
      <x:c r="D12" s="22" t="str">
        <x:v>模型范围</x:v>
      </x:c>
      <x:c r="E12" s="22" t="str">
        <x:v>数据工作</x:v>
      </x:c>
      <x:c r="F12" s="22" t="str">
        <x:v>验收重点</x:v>
      </x:c>
      <x:c r="G12" s="22" t="str">
        <x:v>建议周期</x:v>
      </x:c>
      <x:c r="H12" s="22" t="str">
        <x:v>退出条件</x:v>
      </x:c>
    </x:row>
    <x:row r="13" ht="55" customHeight="1">
      <x:c r="A13" s="30" t="str">
        <x:v>阶段0：底座规范</x:v>
      </x:c>
      <x:c r="B13" s="30" t="str">
        <x:v>先把数据和工具的“壳”建好</x:v>
      </x:c>
      <x:c r="C13" s="30" t="str">
        <x:v>数据目录V0.1、模型注册表、调用日志、基准用例模板</x:v>
      </x:c>
      <x:c r="D13" s="30" t="str">
        <x:v>暂不追求数量</x:v>
      </x:c>
      <x:c r="E13" s="30" t="str">
        <x:v>许可分级、字段口径、单位、版本、血缘、脱敏</x:v>
      </x:c>
      <x:c r="F13" s="30" t="str">
        <x:v>任一数据和模型都可追溯</x:v>
      </x:c>
      <x:c r="G13" s="30" t="str">
        <x:v>1–2周</x:v>
      </x:c>
      <x:c r="H13" s="30" t="str">
        <x:v>完成统一Schema与样例API</x:v>
      </x:c>
    </x:row>
    <x:row r="14" ht="55" customHeight="1">
      <x:c r="A14" s="30" t="str">
        <x:v>阶段1：P0可演示链</x:v>
      </x:c>
      <x:c r="B14" s="30" t="str">
        <x:v>形成五样板最小闭环</x:v>
      </x:c>
      <x:c r="C14" s="30" t="str">
        <x:v>30个P0工具、5条最小调用链、测试集</x:v>
      </x:c>
      <x:c r="D14" s="30" t="str">
        <x:v>P0=30</x:v>
      </x:c>
      <x:c r="E14" s="30" t="str">
        <x:v>公开基础数据+少量脱敏历史样例</x:v>
      </x:c>
      <x:c r="F14" s="30" t="str">
        <x:v>守恒闭合、边界拒绝、结果可复核</x:v>
      </x:c>
      <x:c r="G14" s="30" t="str">
        <x:v>4–6周</x:v>
      </x:c>
      <x:c r="H14" s="30" t="str">
        <x:v>每样板至少1条端到端成功链</x:v>
      </x:c>
    </x:row>
    <x:row r="15" ht="55" customHeight="1">
      <x:c r="A15" s="30" t="str">
        <x:v>阶段2：P1准确性</x:v>
      </x:c>
      <x:c r="B15" s="30" t="str">
        <x:v>接入历史数据与复杂计算</x:v>
      </x:c>
      <x:c r="C15" s="30" t="str">
        <x:v>50个P1工具、预测模型、参数标定、评测报告</x:v>
      </x:c>
      <x:c r="D15" s="30" t="str">
        <x:v>累计80</x:v>
      </x:c>
      <x:c r="E15" s="30" t="str">
        <x:v>炉次/时序/质量数据治理与时间切分</x:v>
      </x:c>
      <x:c r="F15" s="30" t="str">
        <x:v>时间外推、分层指标、专家对照</x:v>
      </x:c>
      <x:c r="G15" s="30" t="str">
        <x:v>6–10周</x:v>
      </x:c>
      <x:c r="H15" s="30" t="str">
        <x:v>关键预测优于规则/人工基线</x:v>
      </x:c>
    </x:row>
    <x:row r="16" ht="55" customHeight="1">
      <x:c r="A16" s="30" t="str">
        <x:v>阶段3：P2扩展与论文</x:v>
      </x:c>
      <x:c r="B16" s="30" t="str">
        <x:v>增加优化、仿真、路由研究</x:v>
      </x:c>
      <x:c r="C16" s="30" t="str">
        <x:v>40个P2工具、消融实验、边界研究数据集</x:v>
      </x:c>
      <x:c r="D16" s="30" t="str">
        <x:v>累计120</x:v>
      </x:c>
      <x:c r="E16" s="30" t="str">
        <x:v>构建调用/不调用、成功/失败、OOD数据集</x:v>
      </x:c>
      <x:c r="F16" s="30" t="str">
        <x:v>路由命中率、漏调用率、约束违反率</x:v>
      </x:c>
      <x:c r="G16" s="30" t="str">
        <x:v>按论文推进</x:v>
      </x:c>
      <x:c r="H16" s="30" t="str">
        <x:v>只开发对样板或论文有贡献的工具</x:v>
      </x:c>
    </x:row>
    <x:row r="18" ht="38" customHeight="1">
      <x:c r="A18" s="22" t="str">
        <x:v>场景</x:v>
      </x:c>
      <x:c r="B18" s="22" t="str">
        <x:v>模型数量</x:v>
      </x:c>
      <x:c r="D18" s="22" t="str">
        <x:v>数据库填充顺序</x:v>
      </x:c>
      <x:c r="E18" s="22" t="str">
        <x:v>做什么</x:v>
      </x:c>
      <x:c r="F18" s="22" t="str">
        <x:v>不做什么</x:v>
      </x:c>
      <x:c r="G18" s="22" t="str">
        <x:v>质量门槛</x:v>
      </x:c>
      <x:c r="H18" s="22" t="str">
        <x:v>产出</x:v>
      </x:c>
    </x:row>
    <x:row r="19" ht="38" customHeight="1">
      <x:c r="A19" s="30" t="str">
        <x:v>通用数据与校验</x:v>
      </x:c>
      <x:c r="B19" s="30" t="n">
        <x:v>10</x:v>
      </x:c>
      <x:c r="D19" s="30" t="str">
        <x:v>1. 元数据先行</x:v>
      </x:c>
      <x:c r="E19" s="30" t="str">
        <x:v>来源、许可、版本、字段、URL、负责人</x:v>
      </x:c>
      <x:c r="F19" s="30" t="str">
        <x:v>不先全量下载</x:v>
      </x:c>
      <x:c r="G19" s="30" t="str">
        <x:v>每条资料有许可/来源/时间</x:v>
      </x:c>
      <x:c r="H19" s="30" t="str">
        <x:v>dataset_registry</x:v>
      </x:c>
    </x:row>
    <x:row r="20" ht="38" customHeight="1">
      <x:c r="A20" s="30" t="str">
        <x:v>热力学与相平衡</x:v>
      </x:c>
      <x:c r="B20" s="30" t="n">
        <x:v>25</x:v>
      </x:c>
      <x:c r="D20" s="30" t="str">
        <x:v>2. 小规模样例</x:v>
      </x:c>
      <x:c r="E20" s="30" t="str">
        <x:v>每源10–1000条样例跑通清洗与映射</x:v>
      </x:c>
      <x:c r="F20" s="30" t="str">
        <x:v>不直接把原始字段塞进统一大表</x:v>
      </x:c>
      <x:c r="G20" s="30" t="str">
        <x:v>单位、相态、参考态明确</x:v>
      </x:c>
      <x:c r="H20" s="30" t="str">
        <x:v>staging+quality_report</x:v>
      </x:c>
    </x:row>
    <x:row r="21" ht="38" customHeight="1">
      <x:c r="A21" s="30" t="str">
        <x:v>动力学与传递</x:v>
      </x:c>
      <x:c r="B21" s="30" t="n">
        <x:v>10</x:v>
      </x:c>
      <x:c r="D21" s="30" t="str">
        <x:v>3. 权威基础表</x:v>
      </x:c>
      <x:c r="E21" s="30" t="str">
        <x:v>物性、热化学、结构、标准题录</x:v>
      </x:c>
      <x:c r="F21" s="30" t="str">
        <x:v>不混用实验值和DFT值</x:v>
      </x:c>
      <x:c r="G21" s="30" t="str">
        <x:v>方法与不确定度可追溯</x:v>
      </x:c>
      <x:c r="H21" s="30" t="str">
        <x:v>curated tables</x:v>
      </x:c>
    </x:row>
    <x:row r="22" ht="38" customHeight="1">
      <x:c r="A22" s="30" t="str">
        <x:v>转炉炼钢</x:v>
      </x:c>
      <x:c r="B22" s="30" t="n">
        <x:v>20</x:v>
      </x:c>
      <x:c r="D22" s="30" t="str">
        <x:v>4. 内部工艺数据</x:v>
      </x:c>
      <x:c r="E22" s="30" t="str">
        <x:v>炉次、时序、质量、能耗、工单</x:v>
      </x:c>
      <x:c r="F22" s="30" t="str">
        <x:v>不把跨设备数据无标记合并</x:v>
      </x:c>
      <x:c r="G22" s="30" t="str">
        <x:v>设备/钢种/时间/采样频率齐全</x:v>
      </x:c>
      <x:c r="H22" s="30" t="str">
        <x:v>feature store</x:v>
      </x:c>
    </x:row>
    <x:row r="23" ht="38" customHeight="1">
      <x:c r="A23" s="30" t="str">
        <x:v>高炉低碳</x:v>
      </x:c>
      <x:c r="B23" s="30" t="n">
        <x:v>20</x:v>
      </x:c>
      <x:c r="D23" s="30" t="str">
        <x:v>5. 文本知识库</x:v>
      </x:c>
      <x:c r="E23" s="30" t="str">
        <x:v>开放全文、合法摘要、自建规则</x:v>
      </x:c>
      <x:c r="F23" s="30" t="str">
        <x:v>不镜像付费论文/商业数据库</x:v>
      </x:c>
      <x:c r="G23" s="30" t="str">
        <x:v>每个chunk可生成准确引用</x:v>
      </x:c>
      <x:c r="H23" s="30" t="str">
        <x:v>RAG+knowledge graph</x:v>
      </x:c>
    </x:row>
    <x:row r="24" ht="38" customHeight="1">
      <x:c r="A24" s="30" t="str">
        <x:v>连铸质量与二冷</x:v>
      </x:c>
      <x:c r="B24" s="30" t="n">
        <x:v>20</x:v>
      </x:c>
    </x:row>
    <x:row r="25">
      <x:c r="A25" s="30" t="str">
        <x:v>仿真/优化/智能体支撑</x:v>
      </x:c>
      <x:c r="B25" s="30" t="n">
        <x:v>15</x:v>
      </x:c>
    </x:row>
    <x:row r="27" ht="42" customHeight="1">
      <x:c r="A27" s="53" t="str">
        <x:v>建议：第一版不要追求“填满数据库”和“写完120个工具”。先完成P0的30个工具、统一注册/日志/校验框架，再用实际调用日志决定P1/P2是否值得开发。</x:v>
      </x:c>
      <x:c r="B27" s="53"/>
      <x:c r="C27" s="53"/>
      <x:c r="D27" s="53"/>
      <x:c r="E27" s="53"/>
      <x:c r="F27" s="53"/>
      <x:c r="G27" s="53"/>
      <x:c r="H27" s="53"/>
    </x:row>
  </x:sheetData>
  <x:mergeCells>
    <x:mergeCell ref="A1:H2"/>
    <x:mergeCell ref="A3:H3"/>
    <x:mergeCell ref="A27:H27"/>
  </x:mergeCells>
  <x:pageMargins left="0.7" right="0.7" top="0.75" bottom="0.75" header="0.3" footer="0.3"/>
  <x:drawing xmlns:r="http://schemas.openxmlformats.org/officeDocument/2006/relationships" r:id="R172831c61a224966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24" hidden="0" customWidth="1"/>
    <x:col min="5" max="5" width="34" hidden="0" customWidth="1"/>
    <x:col min="6" max="6" width="16" hidden="0" customWidth="1"/>
    <x:col min="7" max="7" width="26" hidden="0" customWidth="1"/>
    <x:col min="8" max="8" width="20" hidden="0" customWidth="1"/>
    <x:col min="9" max="9" width="36" hidden="0" customWidth="1"/>
    <x:col min="10" max="10" width="10" hidden="0" customWidth="1"/>
    <x:col min="11" max="11" width="36" hidden="0" customWidth="1"/>
    <x:col min="12" max="12" width="42" hidden="0" customWidth="1"/>
  </x:cols>
  <x:sheetData>
    <x:row r="1" ht="34" customHeight="1">
      <x:c r="A1" s="22" t="str">
        <x:v>资料ID</x:v>
      </x:c>
      <x:c r="B1" s="22" t="str">
        <x:v>一级类别</x:v>
      </x:c>
      <x:c r="C1" s="22" t="str">
        <x:v>资料源</x:v>
      </x:c>
      <x:c r="D1" s="22" t="str">
        <x:v>机构</x:v>
      </x:c>
      <x:c r="E1" s="22" t="str">
        <x:v>可填充内容</x:v>
      </x:c>
      <x:c r="F1" s="22" t="str">
        <x:v>访问方式</x:v>
      </x:c>
      <x:c r="G1" s="22" t="str">
        <x:v>开放性/许可</x:v>
      </x:c>
      <x:c r="H1" s="22" t="str">
        <x:v>推荐入库层</x:v>
      </x:c>
      <x:c r="I1" s="22" t="str">
        <x:v>入库策略</x:v>
      </x:c>
      <x:c r="J1" s="22" t="str">
        <x:v>优先级</x:v>
      </x:c>
      <x:c r="K1" s="22" t="str">
        <x:v>风险/备注</x:v>
      </x:c>
      <x:c r="L1" s="22" t="str">
        <x:v>URL</x:v>
      </x:c>
    </x:row>
    <x:row r="2" ht="60" customHeight="1">
      <x:c r="A2" s="48" t="str">
        <x:v>DS001</x:v>
      </x:c>
      <x:c r="B2" s="48" t="str">
        <x:v>热化学/物性</x:v>
      </x:c>
      <x:c r="C2" s="30" t="str">
        <x:v>NIST Chemistry WebBook</x:v>
      </x:c>
      <x:c r="D2" s="30" t="str">
        <x:v>NIST</x:v>
      </x:c>
      <x:c r="E2" s="30" t="str">
        <x:v>气相/凝聚相热化学、光谱、反应与物性数据</x:v>
      </x:c>
      <x:c r="F2" s="30" t="str">
        <x:v>网页/批量下载</x:v>
      </x:c>
      <x:c r="G2" s="30" t="str">
        <x:v>公开；按页面许可与引用要求使用</x:v>
      </x:c>
      <x:c r="H2" s="30" t="str">
        <x:v>结构化库+知识库</x:v>
      </x:c>
      <x:c r="I2" s="30" t="str">
        <x:v>优先抽取物性表、化合物标识和出处；保留版本/访问日期</x:v>
      </x:c>
      <x:c r="J2" s="48" t="str">
        <x:v>P0</x:v>
      </x:c>
      <x:c r="K2" s="30" t="str">
        <x:v>避免抓取受单独版权约束的附属数据；逐条保留引用</x:v>
      </x:c>
      <x:c r="L2" s="30" t="str">
        <x:v>https://webbook.nist.gov/chemistry/</x:v>
      </x:c>
    </x:row>
    <x:row r="3" ht="60" customHeight="1">
      <x:c r="A3" s="48" t="str">
        <x:v>DS002</x:v>
      </x:c>
      <x:c r="B3" s="48" t="str">
        <x:v>热化学/物性</x:v>
      </x:c>
      <x:c r="C3" s="30" t="str">
        <x:v>NIST-JANAF Thermochemical Tables</x:v>
      </x:c>
      <x:c r="D3" s="30" t="str">
        <x:v>NIST</x:v>
      </x:c>
      <x:c r="E3" s="30" t="str">
        <x:v>标准生成焓、熵、热容、Gibbs函数等温度表</x:v>
      </x:c>
      <x:c r="F3" s="30" t="str">
        <x:v>网页/表格</x:v>
      </x:c>
      <x:c r="G3" s="30" t="str">
        <x:v>公开；需规范引用</x:v>
      </x:c>
      <x:c r="H3" s="30" t="str">
        <x:v>结构化库</x:v>
      </x:c>
      <x:c r="I3" s="30" t="str">
        <x:v>解析温度—热力学函数表，统一单位与参考态</x:v>
      </x:c>
      <x:c r="J3" s="48" t="str">
        <x:v>P0</x:v>
      </x:c>
      <x:c r="K3" s="30" t="str">
        <x:v>参考态、相态和温度范围必须入库</x:v>
      </x:c>
      <x:c r="L3" s="30" t="str">
        <x:v>https://janaf.nist.gov/</x:v>
      </x:c>
    </x:row>
    <x:row r="4" ht="60" customHeight="1">
      <x:c r="A4" s="48" t="str">
        <x:v>DS003</x:v>
      </x:c>
      <x:c r="B4" s="48" t="str">
        <x:v>材料计算</x:v>
      </x:c>
      <x:c r="C4" s="30" t="str">
        <x:v>Materials Project</x:v>
      </x:c>
      <x:c r="D4" s="30" t="str">
        <x:v>LBNL</x:v>
      </x:c>
      <x:c r="E4" s="30" t="str">
        <x:v>晶体结构、形成能、能带、弹性、相稳定性等计算数据</x:v>
      </x:c>
      <x:c r="F4" s="30" t="str">
        <x:v>REST API</x:v>
      </x:c>
      <x:c r="G4" s="30" t="str">
        <x:v>API访问；遵守使用条款与引用规范</x:v>
      </x:c>
      <x:c r="H4" s="30" t="str">
        <x:v>结构化库+向量库</x:v>
      </x:c>
      <x:c r="I4" s="30" t="str">
        <x:v>通过API按元素体系增量同步；记录计算方法和材料ID</x:v>
      </x:c>
      <x:c r="J4" s="48" t="str">
        <x:v>P0</x:v>
      </x:c>
      <x:c r="K4" s="30" t="str">
        <x:v>计算值不等于实验值；注意API密钥与速率限制</x:v>
      </x:c>
      <x:c r="L4" s="30" t="str">
        <x:v>https://docs.materialsproject.org/open-apis/the-materials-api/</x:v>
      </x:c>
    </x:row>
    <x:row r="5" ht="60" customHeight="1">
      <x:c r="A5" s="48" t="str">
        <x:v>DS004</x:v>
      </x:c>
      <x:c r="B5" s="48" t="str">
        <x:v>材料计算</x:v>
      </x:c>
      <x:c r="C5" s="30" t="str">
        <x:v>Open Quantum Materials Database (OQMD)</x:v>
      </x:c>
      <x:c r="D5" s="30" t="str">
        <x:v>Northwestern University</x:v>
      </x:c>
      <x:c r="E5" s="30" t="str">
        <x:v>高通量DFT结构、形成能、相稳定性</x:v>
      </x:c>
      <x:c r="F5" s="30" t="str">
        <x:v>REST API/下载</x:v>
      </x:c>
      <x:c r="G5" s="30" t="str">
        <x:v>开放访问；遵守许可与引用</x:v>
      </x:c>
      <x:c r="H5" s="30" t="str">
        <x:v>结构化库</x:v>
      </x:c>
      <x:c r="I5" s="30" t="str">
        <x:v>按化学体系、形成能和稳定性筛选导入</x:v>
      </x:c>
      <x:c r="J5" s="48" t="str">
        <x:v>P1</x:v>
      </x:c>
      <x:c r="K5" s="30" t="str">
        <x:v>不同数据库计算设置不可直接混用</x:v>
      </x:c>
      <x:c r="L5" s="30" t="str">
        <x:v>https://oqmd.org/api/</x:v>
      </x:c>
    </x:row>
    <x:row r="6" ht="60" customHeight="1">
      <x:c r="A6" s="48" t="str">
        <x:v>DS005</x:v>
      </x:c>
      <x:c r="B6" s="48" t="str">
        <x:v>材料计算</x:v>
      </x:c>
      <x:c r="C6" s="30" t="str">
        <x:v>AFLOW</x:v>
      </x:c>
      <x:c r="D6" s="30" t="str">
        <x:v>AFLOW Consortium</x:v>
      </x:c>
      <x:c r="E6" s="30" t="str">
        <x:v>材料结构、热力学、电子、力学与高通量计算属性</x:v>
      </x:c>
      <x:c r="F6" s="30" t="str">
        <x:v>API/下载</x:v>
      </x:c>
      <x:c r="G6" s="30" t="str">
        <x:v>开放接口；需引用</x:v>
      </x:c>
      <x:c r="H6" s="30" t="str">
        <x:v>结构化库</x:v>
      </x:c>
      <x:c r="I6" s="30" t="str">
        <x:v>通过AFLUX/API抽取关键字段，保存来源标识</x:v>
      </x:c>
      <x:c r="J6" s="48" t="str">
        <x:v>P1</x:v>
      </x:c>
      <x:c r="K6" s="30" t="str">
        <x:v>字段多且版本变化，需固定映射规范</x:v>
      </x:c>
      <x:c r="L6" s="30" t="str">
        <x:v>https://aflow.org/documentation/</x:v>
      </x:c>
    </x:row>
    <x:row r="7" ht="60" customHeight="1">
      <x:c r="A7" s="48" t="str">
        <x:v>DS006</x:v>
      </x:c>
      <x:c r="B7" s="48" t="str">
        <x:v>材料计算</x:v>
      </x:c>
      <x:c r="C7" s="30" t="str">
        <x:v>NOMAD</x:v>
      </x:c>
      <x:c r="D7" s="30" t="str">
        <x:v>FAIR-DI e.V.</x:v>
      </x:c>
      <x:c r="E7" s="30" t="str">
        <x:v>第一性原理原始计算、归一化档案、工作流和材料属性</x:v>
      </x:c>
      <x:c r="F7" s="30" t="str">
        <x:v>API/下载</x:v>
      </x:c>
      <x:c r="G7" s="30" t="str">
        <x:v>开放平台；各条目许可可能不同</x:v>
      </x:c>
      <x:c r="H7" s="30" t="str">
        <x:v>结构化库+对象存储</x:v>
      </x:c>
      <x:c r="I7" s="30" t="str">
        <x:v>先导入元数据和归一化结果，原始大文件按需存储</x:v>
      </x:c>
      <x:c r="J7" s="48" t="str">
        <x:v>P1</x:v>
      </x:c>
      <x:c r="K7" s="30" t="str">
        <x:v>许可按数据集核对；体量大，不建议全量复制</x:v>
      </x:c>
      <x:c r="L7" s="30" t="str">
        <x:v>https://nomad-lab.eu/</x:v>
      </x:c>
    </x:row>
    <x:row r="8" ht="60" customHeight="1">
      <x:c r="A8" s="48" t="str">
        <x:v>DS007</x:v>
      </x:c>
      <x:c r="B8" s="48" t="str">
        <x:v>材料计算</x:v>
      </x:c>
      <x:c r="C8" s="30" t="str">
        <x:v>NIST-JARVIS</x:v>
      </x:c>
      <x:c r="D8" s="30" t="str">
        <x:v>NIST</x:v>
      </x:c>
      <x:c r="E8" s="30" t="str">
        <x:v>DFT、机器学习和实验相关材料数据集</x:v>
      </x:c>
      <x:c r="F8" s="30" t="str">
        <x:v>API/下载</x:v>
      </x:c>
      <x:c r="G8" s="30" t="str">
        <x:v>公开；遵守引用与许可</x:v>
      </x:c>
      <x:c r="H8" s="30" t="str">
        <x:v>结构化库</x:v>
      </x:c>
      <x:c r="I8" s="30" t="str">
        <x:v>选取钢铁相关元素体系和验证基准</x:v>
      </x:c>
      <x:c r="J8" s="48" t="str">
        <x:v>P1</x:v>
      </x:c>
      <x:c r="K8" s="30" t="str">
        <x:v>不同任务的数据口径不同，需分表管理</x:v>
      </x:c>
      <x:c r="L8" s="30" t="str">
        <x:v>https://jarvis.nist.gov/</x:v>
      </x:c>
    </x:row>
    <x:row r="9" ht="60" customHeight="1">
      <x:c r="A9" s="48" t="str">
        <x:v>DS008</x:v>
      </x:c>
      <x:c r="B9" s="48" t="str">
        <x:v>晶体结构</x:v>
      </x:c>
      <x:c r="C9" s="30" t="str">
        <x:v>Crystallography Open Database (COD)</x:v>
      </x:c>
      <x:c r="D9" s="30" t="str">
        <x:v>COD Advisory Board</x:v>
      </x:c>
      <x:c r="E9" s="30" t="str">
        <x:v>无机/有机晶体结构CIF与文献元数据</x:v>
      </x:c>
      <x:c r="F9" s="30" t="str">
        <x:v>批量下载/API</x:v>
      </x:c>
      <x:c r="G9" s="30" t="str">
        <x:v>CC0数据；文献本身另受版权保护</x:v>
      </x:c>
      <x:c r="H9" s="30" t="str">
        <x:v>结构化库+对象存储</x:v>
      </x:c>
      <x:c r="I9" s="30" t="str">
        <x:v>保存CIF、化学式、空间群、DOI与质量标记</x:v>
      </x:c>
      <x:c r="J9" s="48" t="str">
        <x:v>P0</x:v>
      </x:c>
      <x:c r="K9" s="30" t="str">
        <x:v>结构可能存在重复或质量差异，需去重与校验</x:v>
      </x:c>
      <x:c r="L9" s="30" t="str">
        <x:v>https://www.crystallography.net/cod/</x:v>
      </x:c>
    </x:row>
    <x:row r="10" ht="60" customHeight="1">
      <x:c r="A10" s="48" t="str">
        <x:v>DS009</x:v>
      </x:c>
      <x:c r="B10" s="48" t="str">
        <x:v>材料计算</x:v>
      </x:c>
      <x:c r="C10" s="30" t="str">
        <x:v>Materials Cloud</x:v>
      </x:c>
      <x:c r="D10" s="30" t="str">
        <x:v>EPFL/PSI/ETHZ等</x:v>
      </x:c>
      <x:c r="E10" s="30" t="str">
        <x:v>材料计算数据集、工作流归档、交互资源</x:v>
      </x:c>
      <x:c r="F10" s="30" t="str">
        <x:v>网页/API/归档</x:v>
      </x:c>
      <x:c r="G10" s="30" t="str">
        <x:v>各数据集许可不同</x:v>
      </x:c>
      <x:c r="H10" s="30" t="str">
        <x:v>元数据目录+对象存储</x:v>
      </x:c>
      <x:c r="I10" s="30" t="str">
        <x:v>优先入库元数据、DOI、许可和可复现工作流链接</x:v>
      </x:c>
      <x:c r="J10" s="48" t="str">
        <x:v>P1</x:v>
      </x:c>
      <x:c r="K10" s="30" t="str">
        <x:v>不可假设所有数据都可再分发</x:v>
      </x:c>
      <x:c r="L10" s="30" t="str">
        <x:v>https://www.materialscloud.org/</x:v>
      </x:c>
    </x:row>
    <x:row r="11" ht="60" customHeight="1">
      <x:c r="A11" s="48" t="str">
        <x:v>DS010</x:v>
      </x:c>
      <x:c r="B11" s="48" t="str">
        <x:v>材料实验</x:v>
      </x:c>
      <x:c r="C11" s="30" t="str">
        <x:v>NIMS MatNavi</x:v>
      </x:c>
      <x:c r="D11" s="30" t="str">
        <x:v>NIMS</x:v>
      </x:c>
      <x:c r="E11" s="30" t="str">
        <x:v>材料组成、力学、腐蚀、蠕变、疲劳等实验数据库入口</x:v>
      </x:c>
      <x:c r="F11" s="30" t="str">
        <x:v>网页/注册</x:v>
      </x:c>
      <x:c r="G11" s="30" t="str">
        <x:v>部分开放，部分需注册或受条款限制</x:v>
      </x:c>
      <x:c r="H11" s="30" t="str">
        <x:v>元数据目录+结构化库</x:v>
      </x:c>
      <x:c r="I11" s="30" t="str">
        <x:v>先做目录和字段映射；按获准范围导入</x:v>
      </x:c>
      <x:c r="J11" s="48" t="str">
        <x:v>P1</x:v>
      </x:c>
      <x:c r="K11" s="30" t="str">
        <x:v>批量使用前核对服务条款</x:v>
      </x:c>
      <x:c r="L11" s="30" t="str">
        <x:v>https://mits.nims.go.jp/en/</x:v>
      </x:c>
    </x:row>
    <x:row r="12" ht="60" customHeight="1">
      <x:c r="A12" s="48" t="str">
        <x:v>DS011</x:v>
      </x:c>
      <x:c r="B12" s="48" t="str">
        <x:v>材料实验</x:v>
      </x:c>
      <x:c r="C12" s="30" t="str">
        <x:v>NIMS Thermophysical Property Database</x:v>
      </x:c>
      <x:c r="D12" s="30" t="str">
        <x:v>NIMS</x:v>
      </x:c>
      <x:c r="E12" s="30" t="str">
        <x:v>热扩散率、热导率、比热、密度等热物性</x:v>
      </x:c>
      <x:c r="F12" s="30" t="str">
        <x:v>网页/下载</x:v>
      </x:c>
      <x:c r="G12" s="30" t="str">
        <x:v>按站点条款使用</x:v>
      </x:c>
      <x:c r="H12" s="30" t="str">
        <x:v>结构化库</x:v>
      </x:c>
      <x:c r="I12" s="30" t="str">
        <x:v>围绕铁基合金建立温度依赖物性表</x:v>
      </x:c>
      <x:c r="J12" s="48" t="str">
        <x:v>P1</x:v>
      </x:c>
      <x:c r="K12" s="30" t="str">
        <x:v>样品状态、测试方法和不确定度不可省略</x:v>
      </x:c>
      <x:c r="L12" s="30" t="str">
        <x:v>https://thermophys.nims.go.jp/en/</x:v>
      </x:c>
    </x:row>
    <x:row r="13" ht="60" customHeight="1">
      <x:c r="A13" s="48" t="str">
        <x:v>DS012</x:v>
      </x:c>
      <x:c r="B13" s="48" t="str">
        <x:v>材料机器学习</x:v>
      </x:c>
      <x:c r="C13" s="30" t="str">
        <x:v>Matbench</x:v>
      </x:c>
      <x:c r="D13" s="30" t="str">
        <x:v>Materials Project/社区</x:v>
      </x:c>
      <x:c r="E13" s="30" t="str">
        <x:v>标准化材料机器学习基准任务与数据集</x:v>
      </x:c>
      <x:c r="F13" s="30" t="str">
        <x:v>Python/下载</x:v>
      </x:c>
      <x:c r="G13" s="30" t="str">
        <x:v>开放；按各数据集许可引用</x:v>
      </x:c>
      <x:c r="H13" s="30" t="str">
        <x:v>基准测试库</x:v>
      </x:c>
      <x:c r="I13" s="30" t="str">
        <x:v>作为模型开发与评测流水线样例</x:v>
      </x:c>
      <x:c r="J13" s="48" t="str">
        <x:v>P1</x:v>
      </x:c>
      <x:c r="K13" s="30" t="str">
        <x:v>与真实钢铁生产分布存在差异</x:v>
      </x:c>
      <x:c r="L13" s="30" t="str">
        <x:v>https://docs.materialsproject.org/collaborations/matbench</x:v>
      </x:c>
    </x:row>
    <x:row r="14" ht="60" customHeight="1">
      <x:c r="A14" s="48" t="str">
        <x:v>DS013</x:v>
      </x:c>
      <x:c r="B14" s="48" t="str">
        <x:v>材料机器学习</x:v>
      </x:c>
      <x:c r="C14" s="30" t="str">
        <x:v>matminer datasets</x:v>
      </x:c>
      <x:c r="D14" s="30" t="str">
        <x:v>LBNL/社区</x:v>
      </x:c>
      <x:c r="E14" s="30" t="str">
        <x:v>材料属性数据集与特征工程示例</x:v>
      </x:c>
      <x:c r="F14" s="30" t="str">
        <x:v>Python/下载</x:v>
      </x:c>
      <x:c r="G14" s="30" t="str">
        <x:v>开放；各数据集许可不同</x:v>
      </x:c>
      <x:c r="H14" s="30" t="str">
        <x:v>结构化库+基准测试库</x:v>
      </x:c>
      <x:c r="I14" s="30" t="str">
        <x:v>筛选钢铁/合金相关数据并保留原始数据字典</x:v>
      </x:c>
      <x:c r="J14" s="48" t="str">
        <x:v>P1</x:v>
      </x:c>
      <x:c r="K14" s="30" t="str">
        <x:v>必须追溯到原始数据集和论文</x:v>
      </x:c>
      <x:c r="L14" s="30" t="str">
        <x:v>https://hackingmaterials.lbl.gov/matminer/dataset_summary.html</x:v>
      </x:c>
    </x:row>
    <x:row r="15" ht="60" customHeight="1">
      <x:c r="A15" s="48" t="str">
        <x:v>DS014</x:v>
      </x:c>
      <x:c r="B15" s="48" t="str">
        <x:v>质量检测</x:v>
      </x:c>
      <x:c r="C15" s="30" t="str">
        <x:v>UCI Steel Plates Faults</x:v>
      </x:c>
      <x:c r="D15" s="30" t="str">
        <x:v>UCI Machine Learning Repository</x:v>
      </x:c>
      <x:c r="E15" s="30" t="str">
        <x:v>钢板缺陷分类特征与标签</x:v>
      </x:c>
      <x:c r="F15" s="30" t="str">
        <x:v>下载</x:v>
      </x:c>
      <x:c r="G15" s="30" t="str">
        <x:v>按UCI数据集许可与引用要求</x:v>
      </x:c>
      <x:c r="H15" s="30" t="str">
        <x:v>基准测试库</x:v>
      </x:c>
      <x:c r="I15" s="30" t="str">
        <x:v>用于质量分类、路由和评测的快速原型</x:v>
      </x:c>
      <x:c r="J15" s="48" t="str">
        <x:v>P0</x:v>
      </x:c>
      <x:c r="K15" s="30" t="str">
        <x:v>仅适合作为公开基准，不能代表本地产线</x:v>
      </x:c>
      <x:c r="L15" s="30" t="str">
        <x:v>https://archive.ics.uci.edu/ml/datasets/steel+plates+faults</x:v>
      </x:c>
    </x:row>
    <x:row r="16" ht="60" customHeight="1">
      <x:c r="A16" s="48" t="str">
        <x:v>DS015</x:v>
      </x:c>
      <x:c r="B16" s="48" t="str">
        <x:v>文献元数据</x:v>
      </x:c>
      <x:c r="C16" s="30" t="str">
        <x:v>OpenAlex</x:v>
      </x:c>
      <x:c r="D16" s="30" t="str">
        <x:v>OurResearch</x:v>
      </x:c>
      <x:c r="E16" s="30" t="str">
        <x:v>论文、作者、机构、主题、引用关系与开放获取信息</x:v>
      </x:c>
      <x:c r="F16" s="30" t="str">
        <x:v>REST API/快照</x:v>
      </x:c>
      <x:c r="G16" s="30" t="str">
        <x:v>开放数据；遵守API礼貌策略</x:v>
      </x:c>
      <x:c r="H16" s="30" t="str">
        <x:v>文献元数据库+知识图谱</x:v>
      </x:c>
      <x:c r="I16" s="30" t="str">
        <x:v>按冶金主题、DOI、机构构建文献目录和引用网络</x:v>
      </x:c>
      <x:c r="J16" s="48" t="str">
        <x:v>P0</x:v>
      </x:c>
      <x:c r="K16" s="30" t="str">
        <x:v>仅存元数据与合法开放全文链接</x:v>
      </x:c>
      <x:c r="L16" s="30" t="str">
        <x:v>https://developers.openalex.org/</x:v>
      </x:c>
    </x:row>
    <x:row r="17" ht="60" customHeight="1">
      <x:c r="A17" s="48" t="str">
        <x:v>DS016</x:v>
      </x:c>
      <x:c r="B17" s="48" t="str">
        <x:v>文献元数据</x:v>
      </x:c>
      <x:c r="C17" s="30" t="str">
        <x:v>Crossref REST API</x:v>
      </x:c>
      <x:c r="D17" s="30" t="str">
        <x:v>Crossref</x:v>
      </x:c>
      <x:c r="E17" s="30" t="str">
        <x:v>DOI、题名、作者、期刊、基金、参考文献等元数据</x:v>
      </x:c>
      <x:c r="F17" s="30" t="str">
        <x:v>REST API</x:v>
      </x:c>
      <x:c r="G17" s="30" t="str">
        <x:v>开放API；需遵守礼貌池规范</x:v>
      </x:c>
      <x:c r="H17" s="30" t="str">
        <x:v>文献元数据库</x:v>
      </x:c>
      <x:c r="I17" s="30" t="str">
        <x:v>用DOI去重并补齐出版信息</x:v>
      </x:c>
      <x:c r="J17" s="48" t="str">
        <x:v>P0</x:v>
      </x:c>
      <x:c r="K17" s="30" t="str">
        <x:v>元数据完整度不一，需与OpenAlex交叉校验</x:v>
      </x:c>
      <x:c r="L17" s="30" t="str">
        <x:v>https://www.crossref.org/documentation/retrieve-metadata/rest-api/</x:v>
      </x:c>
    </x:row>
    <x:row r="18" ht="60" customHeight="1">
      <x:c r="A18" s="48" t="str">
        <x:v>DS017</x:v>
      </x:c>
      <x:c r="B18" s="48" t="str">
        <x:v>开放论文</x:v>
      </x:c>
      <x:c r="C18" s="30" t="str">
        <x:v>CORE API</x:v>
      </x:c>
      <x:c r="D18" s="30" t="str">
        <x:v>CORE</x:v>
      </x:c>
      <x:c r="E18" s="30" t="str">
        <x:v>开放获取论文元数据与可用全文</x:v>
      </x:c>
      <x:c r="F18" s="30" t="str">
        <x:v>REST API</x:v>
      </x:c>
      <x:c r="G18" s="30" t="str">
        <x:v>需注册；遵守许可和速率限制</x:v>
      </x:c>
      <x:c r="H18" s="30" t="str">
        <x:v>文献库+向量库</x:v>
      </x:c>
      <x:c r="I18" s="30" t="str">
        <x:v>只导入明确开放许可的全文；其余存摘要/链接</x:v>
      </x:c>
      <x:c r="J18" s="48" t="str">
        <x:v>P1</x:v>
      </x:c>
      <x:c r="K18" s="30" t="str">
        <x:v>全文许可逐条核验，禁止把付费论文镜像入库</x:v>
      </x:c>
      <x:c r="L18" s="30" t="str">
        <x:v>https://core.ac.uk/documentation/api</x:v>
      </x:c>
    </x:row>
    <x:row r="19" ht="60" customHeight="1">
      <x:c r="A19" s="48" t="str">
        <x:v>DS018</x:v>
      </x:c>
      <x:c r="B19" s="48" t="str">
        <x:v>数据集元数据</x:v>
      </x:c>
      <x:c r="C19" s="30" t="str">
        <x:v>DataCite API</x:v>
      </x:c>
      <x:c r="D19" s="30" t="str">
        <x:v>DataCite</x:v>
      </x:c>
      <x:c r="E19" s="30" t="str">
        <x:v>研究数据、软件、报告的DOI元数据</x:v>
      </x:c>
      <x:c r="F19" s="30" t="str">
        <x:v>REST API</x:v>
      </x:c>
      <x:c r="G19" s="30" t="str">
        <x:v>开放元数据；遵守使用规范</x:v>
      </x:c>
      <x:c r="H19" s="30" t="str">
        <x:v>数据集目录</x:v>
      </x:c>
      <x:c r="I19" s="30" t="str">
        <x:v>检索钢铁、冶金、热力学、连铸等数据集DOI</x:v>
      </x:c>
      <x:c r="J19" s="48" t="str">
        <x:v>P0</x:v>
      </x:c>
      <x:c r="K19" s="30" t="str">
        <x:v>元数据可公开不代表文件可再分发</x:v>
      </x:c>
      <x:c r="L19" s="30" t="str">
        <x:v>https://support.datacite.org/docs/api</x:v>
      </x:c>
    </x:row>
    <x:row r="20" ht="60" customHeight="1">
      <x:c r="A20" s="48" t="str">
        <x:v>DS019</x:v>
      </x:c>
      <x:c r="B20" s="48" t="str">
        <x:v>开放科研数据</x:v>
      </x:c>
      <x:c r="C20" s="30" t="str">
        <x:v>Zenodo API</x:v>
      </x:c>
      <x:c r="D20" s="30" t="str">
        <x:v>CERN/OpenAIRE</x:v>
      </x:c>
      <x:c r="E20" s="30" t="str">
        <x:v>论文附件、数据集、软件、模型与版本信息</x:v>
      </x:c>
      <x:c r="F20" s="30" t="str">
        <x:v>REST API</x:v>
      </x:c>
      <x:c r="G20" s="30" t="str">
        <x:v>各记录许可不同</x:v>
      </x:c>
      <x:c r="H20" s="30" t="str">
        <x:v>数据集目录+对象存储</x:v>
      </x:c>
      <x:c r="I20" s="30" t="str">
        <x:v>按许可过滤后入库；保留版本、checksum和DOI</x:v>
      </x:c>
      <x:c r="J20" s="48" t="str">
        <x:v>P0</x:v>
      </x:c>
      <x:c r="K20" s="30" t="str">
        <x:v>必须按记录许可决定是否下载/再发布</x:v>
      </x:c>
      <x:c r="L20" s="30" t="str">
        <x:v>https://developers.zenodo.org/</x:v>
      </x:c>
    </x:row>
    <x:row r="21" ht="60" customHeight="1">
      <x:c r="A21" s="48" t="str">
        <x:v>DS020</x:v>
      </x:c>
      <x:c r="B21" s="48" t="str">
        <x:v>标准法规</x:v>
      </x:c>
      <x:c r="C21" s="30" t="str">
        <x:v>国家标准全文公开系统</x:v>
      </x:c>
      <x:c r="D21" s="30" t="str">
        <x:v>国家市场监督管理总局/国家标准委</x:v>
      </x:c>
      <x:c r="E21" s="30" t="str">
        <x:v>国家标准题录及依法公开的标准全文</x:v>
      </x:c>
      <x:c r="F21" s="30" t="str">
        <x:v>网页检索</x:v>
      </x:c>
      <x:c r="G21" s="30" t="str">
        <x:v>公开范围内使用；标准版权与下载限制需遵守</x:v>
      </x:c>
      <x:c r="H21" s="30" t="str">
        <x:v>标准元数据库+知识库</x:v>
      </x:c>
      <x:c r="I21" s="30" t="str">
        <x:v>优先入库题录、适用范围、术语和合法公开全文</x:v>
      </x:c>
      <x:c r="J21" s="48" t="str">
        <x:v>P0</x:v>
      </x:c>
      <x:c r="K21" s="30" t="str">
        <x:v>不批量复制未授权标准全文</x:v>
      </x:c>
      <x:c r="L21" s="30" t="str">
        <x:v>https://openstd.samr.gov.cn/</x:v>
      </x:c>
    </x:row>
    <x:row r="22" ht="60" customHeight="1">
      <x:c r="A22" s="48" t="str">
        <x:v>DS021</x:v>
      </x:c>
      <x:c r="B22" s="48" t="str">
        <x:v>标准法规</x:v>
      </x:c>
      <x:c r="C22" s="30" t="str">
        <x:v>全国标准信息公共服务平台</x:v>
      </x:c>
      <x:c r="D22" s="30" t="str">
        <x:v>国家标准委</x:v>
      </x:c>
      <x:c r="E22" s="30" t="str">
        <x:v>国家、行业、地方、团体标准元数据与状态</x:v>
      </x:c>
      <x:c r="F22" s="30" t="str">
        <x:v>网页检索</x:v>
      </x:c>
      <x:c r="G22" s="30" t="str">
        <x:v>公开元数据</x:v>
      </x:c>
      <x:c r="H22" s="30" t="str">
        <x:v>标准元数据库</x:v>
      </x:c>
      <x:c r="I22" s="30" t="str">
        <x:v>同步标准号、名称、状态、发布日期、替代关系</x:v>
      </x:c>
      <x:c r="J22" s="48" t="str">
        <x:v>P0</x:v>
      </x:c>
      <x:c r="K22" s="30" t="str">
        <x:v>标准有效性需定期更新</x:v>
      </x:c>
      <x:c r="L22" s="30" t="str">
        <x:v>https://std.samr.gov.cn/</x:v>
      </x:c>
    </x:row>
    <x:row r="23" ht="60" customHeight="1">
      <x:c r="A23" s="48" t="str">
        <x:v>DS022</x:v>
      </x:c>
      <x:c r="B23" s="48" t="str">
        <x:v>专利</x:v>
      </x:c>
      <x:c r="C23" s="30" t="str">
        <x:v>WIPO PATENTSCOPE</x:v>
      </x:c>
      <x:c r="D23" s="30" t="str">
        <x:v>WIPO</x:v>
      </x:c>
      <x:c r="E23" s="30" t="str">
        <x:v>国际专利全文检索、分类、申请人与法律信息</x:v>
      </x:c>
      <x:c r="F23" s="30" t="str">
        <x:v>网页/API视权限</x:v>
      </x:c>
      <x:c r="G23" s="30" t="str">
        <x:v>公开检索；全文和批量使用受条款约束</x:v>
      </x:c>
      <x:c r="H23" s="30" t="str">
        <x:v>专利元数据库+知识库</x:v>
      </x:c>
      <x:c r="I23" s="30" t="str">
        <x:v>先入库题录、摘要、分类、家族和链接</x:v>
      </x:c>
      <x:c r="J23" s="48" t="str">
        <x:v>P1</x:v>
      </x:c>
      <x:c r="K23" s="30" t="str">
        <x:v>机器翻译文本需标注；法律状态需回源确认</x:v>
      </x:c>
      <x:c r="L23" s="30" t="str">
        <x:v>https://www.wipo.int/en/web/patentscope</x:v>
      </x:c>
    </x:row>
    <x:row r="24" ht="60" customHeight="1">
      <x:c r="A24" s="48" t="str">
        <x:v>DS023</x:v>
      </x:c>
      <x:c r="B24" s="48" t="str">
        <x:v>专利</x:v>
      </x:c>
      <x:c r="C24" s="30" t="str">
        <x:v>Espacenet</x:v>
      </x:c>
      <x:c r="D24" s="30" t="str">
        <x:v>European Patent Office</x:v>
      </x:c>
      <x:c r="E24" s="30" t="str">
        <x:v>全球专利检索、专利家族、引用与法律事件</x:v>
      </x:c>
      <x:c r="F24" s="30" t="str">
        <x:v>网页/API视权限</x:v>
      </x:c>
      <x:c r="G24" s="30" t="str">
        <x:v>公开检索；遵守EPO条款</x:v>
      </x:c>
      <x:c r="H24" s="30" t="str">
        <x:v>专利元数据库</x:v>
      </x:c>
      <x:c r="I24" s="30" t="str">
        <x:v>用于交叉验证专利家族与引用</x:v>
      </x:c>
      <x:c r="J24" s="48" t="str">
        <x:v>P1</x:v>
      </x:c>
      <x:c r="K24" s="30" t="str">
        <x:v>不建议无授权大规模镜像全文</x:v>
      </x:c>
      <x:c r="L24" s="30" t="str">
        <x:v>https://www.epo.org/en/searching-for-patents/technical/espacenet</x:v>
      </x:c>
    </x:row>
    <x:row r="25" ht="60" customHeight="1">
      <x:c r="A25" s="48" t="str">
        <x:v>DS024</x:v>
      </x:c>
      <x:c r="B25" s="48" t="str">
        <x:v>教学与工艺知识</x:v>
      </x:c>
      <x:c r="C25" s="30" t="str">
        <x:v>steeluniversity</x:v>
      </x:c>
      <x:c r="D25" s="30" t="str">
        <x:v>World Steel Association</x:v>
      </x:c>
      <x:c r="E25" s="30" t="str">
        <x:v>炼铁、炼钢、连铸、轧制、可持续性等教学资源</x:v>
      </x:c>
      <x:c r="F25" s="30" t="str">
        <x:v>网页/课程</x:v>
      </x:c>
      <x:c r="G25" s="30" t="str">
        <x:v>课程内容受版权保护</x:v>
      </x:c>
      <x:c r="H25" s="30" t="str">
        <x:v>知识目录+人工摘录规则</x:v>
      </x:c>
      <x:c r="I25" s="30" t="str">
        <x:v>入库课程目录、术语、公开说明与自建摘要</x:v>
      </x:c>
      <x:c r="J25" s="48" t="str">
        <x:v>P1</x:v>
      </x:c>
      <x:c r="K25" s="30" t="str">
        <x:v>不复制受版权保护的完整课件</x:v>
      </x:c>
      <x:c r="L25" s="30" t="str">
        <x:v>https://steeluniversity.org/</x:v>
      </x:c>
    </x:row>
    <x:row r="26" ht="60" customHeight="1">
      <x:c r="A26" s="48" t="str">
        <x:v>DS025</x:v>
      </x:c>
      <x:c r="B26" s="48" t="str">
        <x:v>流程知识</x:v>
      </x:c>
      <x:c r="C26" s="30" t="str">
        <x:v>worldsteel Steelmaking Process</x:v>
      </x:c>
      <x:c r="D26" s="30" t="str">
        <x:v>World Steel Association</x:v>
      </x:c>
      <x:c r="E26" s="30" t="str">
        <x:v>钢铁生产流程、工艺路线与基础说明</x:v>
      </x:c>
      <x:c r="F26" s="30" t="str">
        <x:v>网页</x:v>
      </x:c>
      <x:c r="G26" s="30" t="str">
        <x:v>公开网页；需引用</x:v>
      </x:c>
      <x:c r="H26" s="30" t="str">
        <x:v>知识库</x:v>
      </x:c>
      <x:c r="I26" s="30" t="str">
        <x:v>切分为流程节点、输入输出、术语和关系</x:v>
      </x:c>
      <x:c r="J26" s="48" t="str">
        <x:v>P0</x:v>
      </x:c>
      <x:c r="K26" s="30" t="str">
        <x:v>作为通识知识，不替代企业工艺规程</x:v>
      </x:c>
      <x:c r="L26" s="30" t="str">
        <x:v>https://worldsteel.org/about-steel/steelmaking-process/</x:v>
      </x:c>
    </x:row>
    <x:row r="27" ht="60" customHeight="1">
      <x:c r="A27" s="48" t="str">
        <x:v>DS026</x:v>
      </x:c>
      <x:c r="B27" s="48" t="str">
        <x:v>碳排与生命周期</x:v>
      </x:c>
      <x:c r="C27" s="30" t="str">
        <x:v>worldsteel LCI Data and Eco-profiles</x:v>
      </x:c>
      <x:c r="D27" s="30" t="str">
        <x:v>World Steel Association</x:v>
      </x:c>
      <x:c r="E27" s="30" t="str">
        <x:v>钢铁产品生命周期清单与环境产品信息</x:v>
      </x:c>
      <x:c r="F27" s="30" t="str">
        <x:v>网页/申请数据</x:v>
      </x:c>
      <x:c r="G27" s="30" t="str">
        <x:v>数据访问与再分发受条款约束</x:v>
      </x:c>
      <x:c r="H27" s="30" t="str">
        <x:v>碳排因子库+元数据目录</x:v>
      </x:c>
      <x:c r="I27" s="30" t="str">
        <x:v>保存版本、产品边界、地区、年份和方法学；数据按授权导入</x:v>
      </x:c>
      <x:c r="J27" s="48" t="str">
        <x:v>P0</x:v>
      </x:c>
      <x:c r="K27" s="30" t="str">
        <x:v>系统边界与分配方法必须随数据入库</x:v>
      </x:c>
      <x:c r="L27" s="30" t="str">
        <x:v>https://worldsteel.org/wider-sustainability/life-cycle-thinking/life-cycle-inventory-data-and-eco-profiles/</x:v>
      </x:c>
    </x:row>
    <x:row r="28" ht="60" customHeight="1">
      <x:c r="A28" s="48" t="str">
        <x:v>DS027</x:v>
      </x:c>
      <x:c r="B28" s="48" t="str">
        <x:v>能源与减排</x:v>
      </x:c>
      <x:c r="C28" s="30" t="str">
        <x:v>IEA Iron and Steel</x:v>
      </x:c>
      <x:c r="D28" s="30" t="str">
        <x:v>International Energy Agency</x:v>
      </x:c>
      <x:c r="E28" s="30" t="str">
        <x:v>行业能耗、排放、技术路线和进展指标</x:v>
      </x:c>
      <x:c r="F28" s="30" t="str">
        <x:v>网页/报告</x:v>
      </x:c>
      <x:c r="G28" s="30" t="str">
        <x:v>部分开放；报告版权受保护</x:v>
      </x:c>
      <x:c r="H28" s="30" t="str">
        <x:v>指标库+知识库</x:v>
      </x:c>
      <x:c r="I28" s="30" t="str">
        <x:v>入库公开指标、图表数据出处和自建摘要</x:v>
      </x:c>
      <x:c r="J28" s="48" t="str">
        <x:v>P1</x:v>
      </x:c>
      <x:c r="K28" s="30" t="str">
        <x:v>禁止复制完整付费报告；关注年份与情景</x:v>
      </x:c>
      <x:c r="L28" s="30" t="str">
        <x:v>https://www.iea.org/energy-system/industry/iron-and-steel</x:v>
      </x:c>
    </x:row>
    <x:row r="29" ht="60" customHeight="1">
      <x:c r="A29" s="48" t="str">
        <x:v>DS028</x:v>
      </x:c>
      <x:c r="B29" s="48" t="str">
        <x:v>企业排放</x:v>
      </x:c>
      <x:c r="C29" s="30" t="str">
        <x:v>EPA GHGRP Data Sets</x:v>
      </x:c>
      <x:c r="D29" s="30" t="str">
        <x:v>US EPA</x:v>
      </x:c>
      <x:c r="E29" s="30" t="str">
        <x:v>美国设施级温室气体排放与活动数据</x:v>
      </x:c>
      <x:c r="F29" s="30" t="str">
        <x:v>CSV/网页</x:v>
      </x:c>
      <x:c r="G29" s="30" t="str">
        <x:v>美国政府开放数据</x:v>
      </x:c>
      <x:c r="H29" s="30" t="str">
        <x:v>结构化库</x:v>
      </x:c>
      <x:c r="I29" s="30" t="str">
        <x:v>筛选铁钢行业设施，统一单位和NAICS分类</x:v>
      </x:c>
      <x:c r="J29" s="48" t="str">
        <x:v>P1</x:v>
      </x:c>
      <x:c r="K29" s="30" t="str">
        <x:v>与中国工艺口径不同，仅作对比和方法验证</x:v>
      </x:c>
      <x:c r="L29" s="30" t="str">
        <x:v>https://www.epa.gov/ghgreporting/data-sets</x:v>
      </x:c>
    </x:row>
    <x:row r="30" ht="60" customHeight="1">
      <x:c r="A30" s="48" t="str">
        <x:v>DS029</x:v>
      </x:c>
      <x:c r="B30" s="48" t="str">
        <x:v>企业排放</x:v>
      </x:c>
      <x:c r="C30" s="30" t="str">
        <x:v>EU Industrial Emissions Portal</x:v>
      </x:c>
      <x:c r="D30" s="30" t="str">
        <x:v>European Environment Agency</x:v>
      </x:c>
      <x:c r="E30" s="30" t="str">
        <x:v>欧洲工业设施排放、转移和许可相关数据</x:v>
      </x:c>
      <x:c r="F30" s="30" t="str">
        <x:v>下载/网页</x:v>
      </x:c>
      <x:c r="G30" s="30" t="str">
        <x:v>开放数据，按许可引用</x:v>
      </x:c>
      <x:c r="H30" s="30" t="str">
        <x:v>结构化库+地理库</x:v>
      </x:c>
      <x:c r="I30" s="30" t="str">
        <x:v>筛选钢铁设施，建立排放物—年份—设施表</x:v>
      </x:c>
      <x:c r="J30" s="48" t="str">
        <x:v>P1</x:v>
      </x:c>
      <x:c r="K30" s="30" t="str">
        <x:v>缺失值与报告阈值需单独标记</x:v>
      </x:c>
      <x:c r="L30" s="30" t="str">
        <x:v>https://industry.eea.europa.eu/</x:v>
      </x:c>
    </x:row>
    <x:row r="31" ht="60" customHeight="1">
      <x:c r="A31" s="48" t="str">
        <x:v>DS030</x:v>
      </x:c>
      <x:c r="B31" s="48" t="str">
        <x:v>原料与产量</x:v>
      </x:c>
      <x:c r="C31" s="30" t="str">
        <x:v>USGS Iron and Steel Statistics</x:v>
      </x:c>
      <x:c r="D31" s="30" t="str">
        <x:v>U.S. Geological Survey</x:v>
      </x:c>
      <x:c r="E31" s="30" t="str">
        <x:v>铁矿石、钢铁产量、贸易、价格和行业统计</x:v>
      </x:c>
      <x:c r="F31" s="30" t="str">
        <x:v>网页/下载</x:v>
      </x:c>
      <x:c r="G31" s="30" t="str">
        <x:v>美国政府公开数据</x:v>
      </x:c>
      <x:c r="H31" s="30" t="str">
        <x:v>指标库</x:v>
      </x:c>
      <x:c r="I31" s="30" t="str">
        <x:v>用于宏观流程、原料和产量基准</x:v>
      </x:c>
      <x:c r="J31" s="48" t="str">
        <x:v>P1</x:v>
      </x:c>
      <x:c r="K31" s="30" t="str">
        <x:v>统计口径和修订版本需记录</x:v>
      </x:c>
      <x:c r="L31" s="30" t="str">
        <x:v>https://www.usgs.gov/centers/national-minerals-information-center/iron-and-steel-statistics-and-information</x:v>
      </x:c>
    </x:row>
    <x:row r="32" ht="60" customHeight="1">
      <x:c r="A32" s="48" t="str">
        <x:v>DS031</x:v>
      </x:c>
      <x:c r="B32" s="48" t="str">
        <x:v>热力学软件</x:v>
      </x:c>
      <x:c r="C32" s="30" t="str">
        <x:v>pycalphad</x:v>
      </x:c>
      <x:c r="D32" s="30" t="str">
        <x:v>开源社区</x:v>
      </x:c>
      <x:c r="E32" s="30" t="str">
        <x:v>CALPHAD数据库读取、相平衡与属性计算</x:v>
      </x:c>
      <x:c r="F32" s="30" t="str">
        <x:v>Python库</x:v>
      </x:c>
      <x:c r="G32" s="30" t="str">
        <x:v>开源软件；数据库许可独立</x:v>
      </x:c>
      <x:c r="H32" s="30" t="str">
        <x:v>模型资产库</x:v>
      </x:c>
      <x:c r="I32" s="30" t="str">
        <x:v>封装为统一API，连接合法获得的TDB数据库</x:v>
      </x:c>
      <x:c r="J32" s="48" t="str">
        <x:v>P0</x:v>
      </x:c>
      <x:c r="K32" s="30" t="str">
        <x:v>软件开源不等于商业数据库可公开</x:v>
      </x:c>
      <x:c r="L32" s="30" t="str">
        <x:v>https://pycalphad.org/docs</x:v>
      </x:c>
    </x:row>
    <x:row r="33" ht="60" customHeight="1">
      <x:c r="A33" s="48" t="str">
        <x:v>DS032</x:v>
      </x:c>
      <x:c r="B33" s="48" t="str">
        <x:v>热力学软件</x:v>
      </x:c>
      <x:c r="C33" s="30" t="str">
        <x:v>OpenCalphad</x:v>
      </x:c>
      <x:c r="D33" s="30" t="str">
        <x:v>OpenCalphad Project</x:v>
      </x:c>
      <x:c r="E33" s="30" t="str">
        <x:v>多组元热力学与相平衡计算</x:v>
      </x:c>
      <x:c r="F33" s="30" t="str">
        <x:v>软件/源码</x:v>
      </x:c>
      <x:c r="G33" s="30" t="str">
        <x:v>按项目许可使用；数据库许可独立</x:v>
      </x:c>
      <x:c r="H33" s="30" t="str">
        <x:v>模型资产库</x:v>
      </x:c>
      <x:c r="I33" s="30" t="str">
        <x:v>作为pycalphad结果交叉验证工具</x:v>
      </x:c>
      <x:c r="J33" s="48" t="str">
        <x:v>P1</x:v>
      </x:c>
      <x:c r="K33" s="30" t="str">
        <x:v>需统一相名、组元和数据库版本</x:v>
      </x:c>
      <x:c r="L33" s="30" t="str">
        <x:v>https://www.opencalphad.com/</x:v>
      </x:c>
    </x:row>
    <x:row r="34" ht="60" customHeight="1">
      <x:c r="A34" s="48" t="str">
        <x:v>DS033</x:v>
      </x:c>
      <x:c r="B34" s="48" t="str">
        <x:v>化学反应软件</x:v>
      </x:c>
      <x:c r="C34" s="30" t="str">
        <x:v>Cantera</x:v>
      </x:c>
      <x:c r="D34" s="30" t="str">
        <x:v>Cantera Community</x:v>
      </x:c>
      <x:c r="E34" s="30" t="str">
        <x:v>化学热力学、反应动力学、输运和反应器网络</x:v>
      </x:c>
      <x:c r="F34" s="30" t="str">
        <x:v>Python/C++</x:v>
      </x:c>
      <x:c r="G34" s="30" t="str">
        <x:v>开源</x:v>
      </x:c>
      <x:c r="H34" s="30" t="str">
        <x:v>模型资产库</x:v>
      </x:c>
      <x:c r="I34" s="30" t="str">
        <x:v>用于气相平衡、燃烧、动力学和反应器工具</x:v>
      </x:c>
      <x:c r="J34" s="48" t="str">
        <x:v>P0</x:v>
      </x:c>
      <x:c r="K34" s="30" t="str">
        <x:v>机理文件适用范围需严格标注</x:v>
      </x:c>
      <x:c r="L34" s="30" t="str">
        <x:v>https://cantera.org/</x:v>
      </x:c>
    </x:row>
    <x:row r="35" ht="60" customHeight="1">
      <x:c r="A35" s="48" t="str">
        <x:v>DS034</x:v>
      </x:c>
      <x:c r="B35" s="48" t="str">
        <x:v>热化学软件</x:v>
      </x:c>
      <x:c r="C35" s="30" t="str">
        <x:v>Thermochimica</x:v>
      </x:c>
      <x:c r="D35" s="30" t="str">
        <x:v>ORNL</x:v>
      </x:c>
      <x:c r="E35" s="30" t="str">
        <x:v>多组元多相热化学平衡与Gibbs最小化</x:v>
      </x:c>
      <x:c r="F35" s="30" t="str">
        <x:v>源码/库</x:v>
      </x:c>
      <x:c r="G35" s="30" t="str">
        <x:v>开源；数据库许可另核对</x:v>
      </x:c>
      <x:c r="H35" s="30" t="str">
        <x:v>模型资产库</x:v>
      </x:c>
      <x:c r="I35" s="30" t="str">
        <x:v>用于多相平衡与高温体系对照实现</x:v>
      </x:c>
      <x:c r="J35" s="48" t="str">
        <x:v>P1</x:v>
      </x:c>
      <x:c r="K35" s="30" t="str">
        <x:v>与CALPHAD数据库口径需对齐</x:v>
      </x:c>
      <x:c r="L35" s="30" t="str">
        <x:v>https://github.com/ORNL-CEES/thermochimica</x:v>
      </x:c>
    </x:row>
    <x:row r="36" ht="60" customHeight="1">
      <x:c r="A36" s="48" t="str">
        <x:v>DS035</x:v>
      </x:c>
      <x:c r="B36" s="48" t="str">
        <x:v>CFD软件</x:v>
      </x:c>
      <x:c r="C36" s="30" t="str">
        <x:v>OpenFOAM</x:v>
      </x:c>
      <x:c r="D36" s="30" t="str">
        <x:v>OpenFOAM Foundation</x:v>
      </x:c>
      <x:c r="E36" s="30" t="str">
        <x:v>流体、传热、反应、多相流数值模拟框架</x:v>
      </x:c>
      <x:c r="F36" s="30" t="str">
        <x:v>软件/源码</x:v>
      </x:c>
      <x:c r="G36" s="30" t="str">
        <x:v>GPL开源</x:v>
      </x:c>
      <x:c r="H36" s="30" t="str">
        <x:v>模型资产库+仿真案例库</x:v>
      </x:c>
      <x:c r="I36" s="30" t="str">
        <x:v>封装参数化案例生成、运行和结果提取</x:v>
      </x:c>
      <x:c r="J36" s="48" t="str">
        <x:v>P0</x:v>
      </x:c>
      <x:c r="K36" s="30" t="str">
        <x:v>仿真网格、边界条件和湍流模型决定可信度</x:v>
      </x:c>
      <x:c r="L36" s="30" t="str">
        <x:v>https://openfoam.org/</x:v>
      </x:c>
    </x:row>
    <x:row r="37" ht="60" customHeight="1">
      <x:c r="A37" s="48" t="str">
        <x:v>DS036</x:v>
      </x:c>
      <x:c r="B37" s="48" t="str">
        <x:v>PDE求解</x:v>
      </x:c>
      <x:c r="C37" s="30" t="str">
        <x:v>FiPy</x:v>
      </x:c>
      <x:c r="D37" s="30" t="str">
        <x:v>NIST</x:v>
      </x:c>
      <x:c r="E37" s="30" t="str">
        <x:v>有限体积PDE求解框架</x:v>
      </x:c>
      <x:c r="F37" s="30" t="str">
        <x:v>Python库</x:v>
      </x:c>
      <x:c r="G37" s="30" t="str">
        <x:v>开源</x:v>
      </x:c>
      <x:c r="H37" s="30" t="str">
        <x:v>模型资产库</x:v>
      </x:c>
      <x:c r="I37" s="30" t="str">
        <x:v>用于一维/二维传热、扩散快速小模型</x:v>
      </x:c>
      <x:c r="J37" s="48" t="str">
        <x:v>P1</x:v>
      </x:c>
      <x:c r="K37" s="30" t="str">
        <x:v>复杂几何不替代成熟CFD/FEA工具</x:v>
      </x:c>
      <x:c r="L37" s="30" t="str">
        <x:v>https://www.ctcms.nist.gov/fipy/</x:v>
      </x:c>
    </x:row>
    <x:row r="38" ht="60" customHeight="1">
      <x:c r="A38" s="48" t="str">
        <x:v>DS037</x:v>
      </x:c>
      <x:c r="B38" s="48" t="str">
        <x:v>有限元</x:v>
      </x:c>
      <x:c r="C38" s="30" t="str">
        <x:v>FEniCSx</x:v>
      </x:c>
      <x:c r="D38" s="30" t="str">
        <x:v>FEniCS Project</x:v>
      </x:c>
      <x:c r="E38" s="30" t="str">
        <x:v>偏微分方程与有限元计算</x:v>
      </x:c>
      <x:c r="F38" s="30" t="str">
        <x:v>Python/C++</x:v>
      </x:c>
      <x:c r="G38" s="30" t="str">
        <x:v>开源</x:v>
      </x:c>
      <x:c r="H38" s="30" t="str">
        <x:v>模型资产库</x:v>
      </x:c>
      <x:c r="I38" s="30" t="str">
        <x:v>用于热应力、扩散和反问题原型</x:v>
      </x:c>
      <x:c r="J38" s="48" t="str">
        <x:v>P1</x:v>
      </x:c>
      <x:c r="K38" s="30" t="str">
        <x:v>需要数值分析经验与网格收敛验证</x:v>
      </x:c>
      <x:c r="L38" s="30" t="str">
        <x:v>https://fenicsproject.org/</x:v>
      </x:c>
    </x:row>
    <x:row r="39" ht="60" customHeight="1">
      <x:c r="A39" s="48" t="str">
        <x:v>DS038</x:v>
      </x:c>
      <x:c r="B39" s="48" t="str">
        <x:v>优化软件</x:v>
      </x:c>
      <x:c r="C39" s="30" t="str">
        <x:v>Pyomo</x:v>
      </x:c>
      <x:c r="D39" s="30" t="str">
        <x:v>Pyomo Project</x:v>
      </x:c>
      <x:c r="E39" s="30" t="str">
        <x:v>线性、非线性、混合整数和动态优化建模</x:v>
      </x:c>
      <x:c r="F39" s="30" t="str">
        <x:v>Python库</x:v>
      </x:c>
      <x:c r="G39" s="30" t="str">
        <x:v>开源；求解器许可独立</x:v>
      </x:c>
      <x:c r="H39" s="30" t="str">
        <x:v>模型资产库</x:v>
      </x:c>
      <x:c r="I39" s="30" t="str">
        <x:v>统一封装配料、合金、氧枪制度、多目标优化</x:v>
      </x:c>
      <x:c r="J39" s="48" t="str">
        <x:v>P0</x:v>
      </x:c>
      <x:c r="K39" s="30" t="str">
        <x:v>商业求解器许可和最优性状态需记录</x:v>
      </x:c>
      <x:c r="L39" s="30" t="str">
        <x:v>https://pyomo.readthedocs.io/</x:v>
      </x:c>
    </x:row>
    <x:row r="40" ht="60" customHeight="1">
      <x:c r="A40" s="48" t="str">
        <x:v>DS039</x:v>
      </x:c>
      <x:c r="B40" s="48" t="str">
        <x:v>材料数据接口</x:v>
      </x:c>
      <x:c r="C40" s="30" t="str">
        <x:v>OPTIMADE</x:v>
      </x:c>
      <x:c r="D40" s="30" t="str">
        <x:v>OPTIMADE Consortium</x:v>
      </x:c>
      <x:c r="E40" s="30" t="str">
        <x:v>跨材料数据库统一查询接口标准</x:v>
      </x:c>
      <x:c r="F40" s="30" t="str">
        <x:v>REST API标准</x:v>
      </x:c>
      <x:c r="G40" s="30" t="str">
        <x:v>开放标准</x:v>
      </x:c>
      <x:c r="H40" s="30" t="str">
        <x:v>数据接入层</x:v>
      </x:c>
      <x:c r="I40" s="30" t="str">
        <x:v>用统一过滤表达式联接多个材料数据库</x:v>
      </x:c>
      <x:c r="J40" s="48" t="str">
        <x:v>P1</x:v>
      </x:c>
      <x:c r="K40" s="30" t="str">
        <x:v>各提供方支持字段和速率不同</x:v>
      </x:c>
      <x:c r="L40" s="30" t="str">
        <x:v>https://www.optimade.org/</x:v>
      </x:c>
    </x:row>
    <x:row r="41" ht="60" customHeight="1">
      <x:c r="A41" s="48" t="str">
        <x:v>DS040</x:v>
      </x:c>
      <x:c r="B41" s="48" t="str">
        <x:v>科学计算</x:v>
      </x:c>
      <x:c r="C41" s="30" t="str">
        <x:v>SciPy</x:v>
      </x:c>
      <x:c r="D41" s="30" t="str">
        <x:v>SciPy Community</x:v>
      </x:c>
      <x:c r="E41" s="30" t="str">
        <x:v>积分、优化、插值、ODE、统计等通用算法</x:v>
      </x:c>
      <x:c r="F41" s="30" t="str">
        <x:v>Python库</x:v>
      </x:c>
      <x:c r="G41" s="30" t="str">
        <x:v>开源</x:v>
      </x:c>
      <x:c r="H41" s="30" t="str">
        <x:v>模型资产库</x:v>
      </x:c>
      <x:c r="I41" s="30" t="str">
        <x:v>作为大量确定性小模型的基础数值库</x:v>
      </x:c>
      <x:c r="J41" s="48" t="str">
        <x:v>P0</x:v>
      </x:c>
      <x:c r="K41" s="30" t="str">
        <x:v>必须处理收敛状态、边界和数值异常</x:v>
      </x:c>
      <x:c r="L41" s="30" t="str">
        <x:v>https://docs.scipy.org/doc/scipy/</x:v>
      </x:c>
    </x:row>
    <x:row r="42" ht="60" customHeight="1">
      <x:c r="A42" s="48" t="str">
        <x:v>DS041</x:v>
      </x:c>
      <x:c r="B42" s="48" t="str">
        <x:v>机器学习</x:v>
      </x:c>
      <x:c r="C42" s="30" t="str">
        <x:v>scikit-learn</x:v>
      </x:c>
      <x:c r="D42" s="30" t="str">
        <x:v>scikit-learn Community</x:v>
      </x:c>
      <x:c r="E42" s="30" t="str">
        <x:v>分类、回归、聚类、异常检测、校准和评测</x:v>
      </x:c>
      <x:c r="F42" s="30" t="str">
        <x:v>Python库</x:v>
      </x:c>
      <x:c r="G42" s="30" t="str">
        <x:v>开源</x:v>
      </x:c>
      <x:c r="H42" s="30" t="str">
        <x:v>模型资产库</x:v>
      </x:c>
      <x:c r="I42" s="30" t="str">
        <x:v>用于可解释基线、流程模型和OOD检测</x:v>
      </x:c>
      <x:c r="J42" s="48" t="str">
        <x:v>P0</x:v>
      </x:c>
      <x:c r="K42" s="30" t="str">
        <x:v>生产数据漂移与泄漏需单独治理</x:v>
      </x:c>
      <x:c r="L42" s="30" t="str">
        <x:v>https://scikit-learn.org/stable/</x:v>
      </x:c>
    </x:row>
    <x:row r="43" ht="60" customHeight="1">
      <x:c r="A43" s="48" t="str">
        <x:v>DS042</x:v>
      </x:c>
      <x:c r="B43" s="48" t="str">
        <x:v>内部数据</x:v>
      </x:c>
      <x:c r="C43" s="30" t="str">
        <x:v>实验室/企业历史数据与专家规则</x:v>
      </x:c>
      <x:c r="D43" s="30" t="str">
        <x:v>项目团队/合作企业</x:v>
      </x:c>
      <x:c r="E43" s="30" t="str">
        <x:v>炉次、时序、成分、温度、设备、质量、能耗、工单、专家规则</x:v>
      </x:c>
      <x:c r="F43" s="30" t="str">
        <x:v>数据库/文件/访谈</x:v>
      </x:c>
      <x:c r="G43" s="30" t="str">
        <x:v>受限；需授权、脱敏与分级权限</x:v>
      </x:c>
      <x:c r="H43" s="30" t="str">
        <x:v>结构化库+时序库+规则库</x:v>
      </x:c>
      <x:c r="I43" s="30" t="str">
        <x:v>先建数据字典、脱敏、质量分级、血缘和访问审批</x:v>
      </x:c>
      <x:c r="J43" s="48" t="str">
        <x:v>P0</x:v>
      </x:c>
      <x:c r="K43" s="30" t="str">
        <x:v>这是工艺预测模型的核心数据源；不能用公开数据替代</x:v>
      </x:c>
      <x:c r="L43" s="30" t="str"/>
    </x:row>
    <x:row r="44" ht="60" customHeight="1">
      <x:c r="A44" s="48" t="str">
        <x:v>DS043</x:v>
      </x:c>
      <x:c r="B44" s="48" t="str">
        <x:v>商业热力学数据库</x:v>
      </x:c>
      <x:c r="C44" s="30" t="str">
        <x:v>Thermo-Calc Databases</x:v>
      </x:c>
      <x:c r="D44" s="30" t="str">
        <x:v>Thermo-Calc Software</x:v>
      </x:c>
      <x:c r="E44" s="30" t="str">
        <x:v>钢、合金、氧化物、渣等经评估热力学/迁移率数据库</x:v>
      </x:c>
      <x:c r="F44" s="30" t="str">
        <x:v>商业软件/数据库</x:v>
      </x:c>
      <x:c r="G44" s="30" t="str">
        <x:v>商业许可</x:v>
      </x:c>
      <x:c r="H44" s="30" t="str">
        <x:v>受控模型资产库</x:v>
      </x:c>
      <x:c r="I44" s="30" t="str">
        <x:v>购买许可后仅在授权环境调用，不复制数据库内容</x:v>
      </x:c>
      <x:c r="J44" s="48" t="str">
        <x:v>P1</x:v>
      </x:c>
      <x:c r="K44" s="30" t="str">
        <x:v>数据库许可边界必须写入模型注册表</x:v>
      </x:c>
      <x:c r="L44" s="30" t="str">
        <x:v>https://thermocalc.com/products/databases/</x:v>
      </x:c>
    </x:row>
    <x:row r="45" ht="60" customHeight="1">
      <x:c r="A45" s="48" t="str">
        <x:v>DS044</x:v>
      </x:c>
      <x:c r="B45" s="48" t="str">
        <x:v>商业热化学数据库</x:v>
      </x:c>
      <x:c r="C45" s="30" t="str">
        <x:v>FactSage Databases</x:v>
      </x:c>
      <x:c r="D45" s="30" t="str">
        <x:v>Thermfact/CRCT &amp; GTT-Technologies</x:v>
      </x:c>
      <x:c r="E45" s="30" t="str">
        <x:v>纯物质、溶液、氧化物、渣、钢铁等热化学数据库与计算模块</x:v>
      </x:c>
      <x:c r="F45" s="30" t="str">
        <x:v>商业软件/数据库</x:v>
      </x:c>
      <x:c r="G45" s="30" t="str">
        <x:v>商业许可</x:v>
      </x:c>
      <x:c r="H45" s="30" t="str">
        <x:v>受控模型资产库</x:v>
      </x:c>
      <x:c r="I45" s="30" t="str">
        <x:v>作为高可信对照和复杂渣系计算工具</x:v>
      </x:c>
      <x:c r="J45" s="48" t="str">
        <x:v>P1</x:v>
      </x:c>
      <x:c r="K45" s="30" t="str">
        <x:v>不得将商业数据库内容导出后公开分发</x:v>
      </x:c>
      <x:c r="L45" s="30" t="str">
        <x:v>https://factsage.com/introduction/</x:v>
      </x:c>
    </x:row>
  </x:sheetData>
  <x:conditionalFormatting sqref="J2:J45">
    <x:cfRule type="expression" dxfId="0" priority="1">
      <x:formula>J2="P0"</x:formula>
    </x:cfRule>
    <x:cfRule type="expression" dxfId="1" priority="2">
      <x:formula>J2="P1"</x:formula>
    </x:cfRule>
    <x:cfRule type="expression" dxfId="2" priority="3">
      <x:formula>J2="P2"</x:formula>
    </x:cfRule>
  </x:conditionalFormatting>
  <x:dataValidations count="1">
    <x:dataValidation type="list" sqref="J2:J4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f6eece3a7c46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18" hidden="0" customWidth="1"/>
    <x:col min="5" max="5" width="34" hidden="0" customWidth="1"/>
    <x:col min="6" max="6" width="35" hidden="0" customWidth="1"/>
    <x:col min="7" max="7" width="34" hidden="0" customWidth="1"/>
    <x:col min="8" max="8" width="12" hidden="0" customWidth="1"/>
    <x:col min="9" max="9" width="32" hidden="0" customWidth="1"/>
    <x:col min="10" max="10" width="34" hidden="0" customWidth="1"/>
    <x:col min="11" max="11" width="22" hidden="0" customWidth="1"/>
    <x:col min="12" max="12" width="10" hidden="0" customWidth="1"/>
    <x:col min="13" max="13" width="12" hidden="0" customWidth="1"/>
    <x:col min="14" max="14" width="36" hidden="0" customWidth="1"/>
    <x:col min="15" max="15" width="42" hidden="0" customWidth="1"/>
    <x:col min="16" max="16" width="34" hidden="0" customWidth="1"/>
  </x:cols>
  <x:sheetData>
    <x:row r="1" ht="38" customHeight="1">
      <x:c r="A1" s="22" t="str">
        <x:v>模型ID</x:v>
      </x:c>
      <x:c r="B1" s="22" t="str">
        <x:v>场景</x:v>
      </x:c>
      <x:c r="C1" s="22" t="str">
        <x:v>模型/工具名称</x:v>
      </x:c>
      <x:c r="D1" s="22" t="str">
        <x:v>类型</x:v>
      </x:c>
      <x:c r="E1" s="22" t="str">
        <x:v>核心方法</x:v>
      </x:c>
      <x:c r="F1" s="22" t="str">
        <x:v>主要输入</x:v>
      </x:c>
      <x:c r="G1" s="22" t="str">
        <x:v>主要输出</x:v>
      </x:c>
      <x:c r="H1" s="22" t="str">
        <x:v>是否需训练</x:v>
      </x:c>
      <x:c r="I1" s="22" t="str">
        <x:v>数据依赖</x:v>
      </x:c>
      <x:c r="J1" s="22" t="str">
        <x:v>实现建议</x:v>
      </x:c>
      <x:c r="K1" s="22" t="str">
        <x:v>参考资料ID</x:v>
      </x:c>
      <x:c r="L1" s="22" t="str">
        <x:v>优先级</x:v>
      </x:c>
      <x:c r="M1" s="22" t="str">
        <x:v>开发难度</x:v>
      </x:c>
      <x:c r="N1" s="22" t="str">
        <x:v>验证方式</x:v>
      </x:c>
      <x:c r="O1" s="22" t="str">
        <x:v>适用边界/风险</x:v>
      </x:c>
      <x:c r="P1" s="22" t="str">
        <x:v>API函数名</x:v>
      </x:c>
    </x:row>
    <x:row r="2" ht="72" customHeight="1">
      <x:c r="A2" s="48" t="str">
        <x:v>A001</x:v>
      </x:c>
      <x:c r="B2" s="48" t="str">
        <x:v>通用数据与校验</x:v>
      </x:c>
      <x:c r="C2" s="30" t="str">
        <x:v>单位换算</x:v>
      </x:c>
      <x:c r="D2" s="30" t="str">
        <x:v>确定性公式/规则</x:v>
      </x:c>
      <x:c r="E2" s="30" t="str">
        <x:v>量纲分析与单位映射</x:v>
      </x:c>
      <x:c r="F2" s="30" t="str">
        <x:v>数值、源单位、目标单位</x:v>
      </x:c>
      <x:c r="G2" s="30" t="str">
        <x:v>换算值、换算因子</x:v>
      </x:c>
      <x:c r="H2" s="48" t="str">
        <x:v>否</x:v>
      </x:c>
      <x:c r="I2" s="30" t="str">
        <x:v>公开基础数据+项目数据字典</x:v>
      </x:c>
      <x:c r="J2" s="30" t="str">
        <x:v>Python函数；Pydantic参数校验；单元测试</x:v>
      </x:c>
      <x:c r="K2" s="48" t="str">
        <x:v>DS040,DS042</x:v>
      </x:c>
      <x:c r="L2" s="48" t="str">
        <x:v>P0</x:v>
      </x:c>
      <x:c r="M2" s="48" t="str">
        <x:v>低</x:v>
      </x:c>
      <x:c r="N2" s="30" t="str">
        <x:v>解析解/手算样例/边界值单元测试</x:v>
      </x:c>
      <x:c r="O2" s="30" t="str">
        <x:v>仅在显式输入范围和单位体系内使用；超界必须返回警告</x:v>
      </x:c>
      <x:c r="P2" s="30" t="str">
        <x:v>convert_units</x:v>
      </x:c>
    </x:row>
    <x:row r="3" ht="72" customHeight="1">
      <x:c r="A3" s="48" t="str">
        <x:v>A002</x:v>
      </x:c>
      <x:c r="B3" s="48" t="str">
        <x:v>通用数据与校验</x:v>
      </x:c>
      <x:c r="C3" s="30" t="str">
        <x:v>化学式解析</x:v>
      </x:c>
      <x:c r="D3" s="30" t="str">
        <x:v>确定性公式/规则</x:v>
      </x:c>
      <x:c r="E3" s="30" t="str">
        <x:v>化学式词法解析、括号展开、元素计数</x:v>
      </x:c>
      <x:c r="F3" s="30" t="str">
        <x:v>化学式字符串</x:v>
      </x:c>
      <x:c r="G3" s="30" t="str">
        <x:v>元素—计量数字典、解析警告</x:v>
      </x:c>
      <x:c r="H3" s="48" t="str">
        <x:v>否</x:v>
      </x:c>
      <x:c r="I3" s="30" t="str">
        <x:v>公开基础数据+项目数据字典</x:v>
      </x:c>
      <x:c r="J3" s="30" t="str">
        <x:v>Python函数；Pydantic参数校验；单元测试</x:v>
      </x:c>
      <x:c r="K3" s="48" t="str">
        <x:v>DS040,DS042</x:v>
      </x:c>
      <x:c r="L3" s="48" t="str">
        <x:v>P0</x:v>
      </x:c>
      <x:c r="M3" s="48" t="str">
        <x:v>低</x:v>
      </x:c>
      <x:c r="N3" s="30" t="str">
        <x:v>解析解/手算样例/边界值单元测试</x:v>
      </x:c>
      <x:c r="O3" s="30" t="str">
        <x:v>仅在显式输入范围和单位体系内使用；超界必须返回警告</x:v>
      </x:c>
      <x:c r="P3" s="30" t="str">
        <x:v>parse_chemical_formula</x:v>
      </x:c>
    </x:row>
    <x:row r="4" ht="72" customHeight="1">
      <x:c r="A4" s="48" t="str">
        <x:v>A003</x:v>
      </x:c>
      <x:c r="B4" s="48" t="str">
        <x:v>通用数据与校验</x:v>
      </x:c>
      <x:c r="C4" s="30" t="str">
        <x:v>摩尔质量计算</x:v>
      </x:c>
      <x:c r="D4" s="30" t="str">
        <x:v>确定性公式/规则</x:v>
      </x:c>
      <x:c r="E4" s="30" t="str">
        <x:v>元素原子量加权求和</x:v>
      </x:c>
      <x:c r="F4" s="30" t="str">
        <x:v>化学式/元素组成</x:v>
      </x:c>
      <x:c r="G4" s="30" t="str">
        <x:v>摩尔质量</x:v>
      </x:c>
      <x:c r="H4" s="48" t="str">
        <x:v>否</x:v>
      </x:c>
      <x:c r="I4" s="30" t="str">
        <x:v>公开基础数据+项目数据字典</x:v>
      </x:c>
      <x:c r="J4" s="30" t="str">
        <x:v>Python函数；Pydantic参数校验；单元测试</x:v>
      </x:c>
      <x:c r="K4" s="48" t="str">
        <x:v>DS001,DS040</x:v>
      </x:c>
      <x:c r="L4" s="48" t="str">
        <x:v>P0</x:v>
      </x:c>
      <x:c r="M4" s="48" t="str">
        <x:v>低</x:v>
      </x:c>
      <x:c r="N4" s="30" t="str">
        <x:v>解析解/手算样例/边界值单元测试</x:v>
      </x:c>
      <x:c r="O4" s="30" t="str">
        <x:v>仅在显式输入范围和单位体系内使用；超界必须返回警告</x:v>
      </x:c>
      <x:c r="P4" s="30" t="str">
        <x:v>calc_molar_mass</x:v>
      </x:c>
    </x:row>
    <x:row r="5" ht="72" customHeight="1">
      <x:c r="A5" s="48" t="str">
        <x:v>A004</x:v>
      </x:c>
      <x:c r="B5" s="48" t="str">
        <x:v>通用数据与校验</x:v>
      </x:c>
      <x:c r="C5" s="30" t="str">
        <x:v>成分归一化</x:v>
      </x:c>
      <x:c r="D5" s="30" t="str">
        <x:v>确定性公式/规则</x:v>
      </x:c>
      <x:c r="E5" s="30" t="str">
        <x:v>质量分数/摩尔分数归一化与基准转换</x:v>
      </x:c>
      <x:c r="F5" s="30" t="str">
        <x:v>组成、基准、容差</x:v>
      </x:c>
      <x:c r="G5" s="30" t="str">
        <x:v>归一化组成、偏差</x:v>
      </x:c>
      <x:c r="H5" s="48" t="str">
        <x:v>否</x:v>
      </x:c>
      <x:c r="I5" s="30" t="str">
        <x:v>公开基础数据+项目数据字典</x:v>
      </x:c>
      <x:c r="J5" s="30" t="str">
        <x:v>Python函数；Pydantic参数校验；单元测试</x:v>
      </x:c>
      <x:c r="K5" s="48" t="str">
        <x:v>DS040,DS042</x:v>
      </x:c>
      <x:c r="L5" s="48" t="str">
        <x:v>P0</x:v>
      </x:c>
      <x:c r="M5" s="48" t="str">
        <x:v>低</x:v>
      </x:c>
      <x:c r="N5" s="30" t="str">
        <x:v>解析解/手算样例/边界值单元测试</x:v>
      </x:c>
      <x:c r="O5" s="30" t="str">
        <x:v>仅在显式输入范围和单位体系内使用；超界必须返回警告</x:v>
      </x:c>
      <x:c r="P5" s="30" t="str">
        <x:v>normalize_composition</x:v>
      </x:c>
    </x:row>
    <x:row r="6" ht="72" customHeight="1">
      <x:c r="A6" s="48" t="str">
        <x:v>A005</x:v>
      </x:c>
      <x:c r="B6" s="48" t="str">
        <x:v>通用数据与校验</x:v>
      </x:c>
      <x:c r="C6" s="30" t="str">
        <x:v>元素质量守恒校验</x:v>
      </x:c>
      <x:c r="D6" s="30" t="str">
        <x:v>确定性公式/规则</x:v>
      </x:c>
      <x:c r="E6" s="30" t="str">
        <x:v>输入—输出元素逐项守恒残差</x:v>
      </x:c>
      <x:c r="F6" s="30" t="str">
        <x:v>物流、组成、质量</x:v>
      </x:c>
      <x:c r="G6" s="30" t="str">
        <x:v>元素残差、闭合率、通过/失败</x:v>
      </x:c>
      <x:c r="H6" s="48" t="str">
        <x:v>否</x:v>
      </x:c>
      <x:c r="I6" s="30" t="str">
        <x:v>公开基础数据+项目数据字典</x:v>
      </x:c>
      <x:c r="J6" s="30" t="str">
        <x:v>Python函数；Pydantic参数校验；单元测试</x:v>
      </x:c>
      <x:c r="K6" s="48" t="str">
        <x:v>DS040,DS042</x:v>
      </x:c>
      <x:c r="L6" s="48" t="str">
        <x:v>P0</x:v>
      </x:c>
      <x:c r="M6" s="48" t="str">
        <x:v>低</x:v>
      </x:c>
      <x:c r="N6" s="30" t="str">
        <x:v>解析解/手算样例/边界值单元测试</x:v>
      </x:c>
      <x:c r="O6" s="30" t="str">
        <x:v>仅在显式输入范围和单位体系内使用；超界必须返回警告</x:v>
      </x:c>
      <x:c r="P6" s="30" t="str">
        <x:v>check_element_mass_balance</x:v>
      </x:c>
    </x:row>
    <x:row r="7" ht="72" customHeight="1">
      <x:c r="A7" s="48" t="str">
        <x:v>A006</x:v>
      </x:c>
      <x:c r="B7" s="48" t="str">
        <x:v>通用数据与校验</x:v>
      </x:c>
      <x:c r="C7" s="30" t="str">
        <x:v>氧当量/还原剂当量计算</x:v>
      </x:c>
      <x:c r="D7" s="30" t="str">
        <x:v>确定性公式/规则</x:v>
      </x:c>
      <x:c r="E7" s="30" t="str">
        <x:v>化学计量电子/氧当量</x:v>
      </x:c>
      <x:c r="F7" s="30" t="str">
        <x:v>反应物组成、氧化态</x:v>
      </x:c>
      <x:c r="G7" s="30" t="str">
        <x:v>理论氧量/还原剂当量</x:v>
      </x:c>
      <x:c r="H7" s="48" t="str">
        <x:v>否</x:v>
      </x:c>
      <x:c r="I7" s="30" t="str">
        <x:v>公开基础数据+项目数据字典</x:v>
      </x:c>
      <x:c r="J7" s="30" t="str">
        <x:v>Python函数；Pydantic参数校验；单元测试</x:v>
      </x:c>
      <x:c r="K7" s="48" t="str">
        <x:v>DS040,DS042</x:v>
      </x:c>
      <x:c r="L7" s="48" t="str">
        <x:v>P0</x:v>
      </x:c>
      <x:c r="M7" s="48" t="str">
        <x:v>低</x:v>
      </x:c>
      <x:c r="N7" s="30" t="str">
        <x:v>解析解/手算样例/边界值单元测试</x:v>
      </x:c>
      <x:c r="O7" s="30" t="str">
        <x:v>仅在显式输入范围和单位体系内使用；超界必须返回警告</x:v>
      </x:c>
      <x:c r="P7" s="30" t="str">
        <x:v>calc_oxygen_reductant_equivalent</x:v>
      </x:c>
    </x:row>
    <x:row r="8" ht="72" customHeight="1">
      <x:c r="A8" s="48" t="str">
        <x:v>A007</x:v>
      </x:c>
      <x:c r="B8" s="48" t="str">
        <x:v>通用数据与校验</x:v>
      </x:c>
      <x:c r="C8" s="30" t="str">
        <x:v>电荷与价态平衡校验</x:v>
      </x:c>
      <x:c r="D8" s="30" t="str">
        <x:v>确定性公式/规则</x:v>
      </x:c>
      <x:c r="E8" s="30" t="str">
        <x:v>氧化态与电中性约束</x:v>
      </x:c>
      <x:c r="F8" s="30" t="str">
        <x:v>化学式、候选价态</x:v>
      </x:c>
      <x:c r="G8" s="30" t="str">
        <x:v>电荷残差、可行价态组合</x:v>
      </x:c>
      <x:c r="H8" s="48" t="str">
        <x:v>否</x:v>
      </x:c>
      <x:c r="I8" s="30" t="str">
        <x:v>公开基础数据+项目数据字典</x:v>
      </x:c>
      <x:c r="J8" s="30" t="str">
        <x:v>Python函数；Pydantic参数校验；单元测试</x:v>
      </x:c>
      <x:c r="K8" s="48" t="str">
        <x:v>DS040,DS042</x:v>
      </x:c>
      <x:c r="L8" s="48" t="str">
        <x:v>P0</x:v>
      </x:c>
      <x:c r="M8" s="48" t="str">
        <x:v>低</x:v>
      </x:c>
      <x:c r="N8" s="30" t="str">
        <x:v>解析解/手算样例/边界值单元测试</x:v>
      </x:c>
      <x:c r="O8" s="30" t="str">
        <x:v>仅在显式输入范围和单位体系内使用；超界必须返回警告</x:v>
      </x:c>
      <x:c r="P8" s="30" t="str">
        <x:v>check_charge_valence_balance</x:v>
      </x:c>
    </x:row>
    <x:row r="9" ht="72" customHeight="1">
      <x:c r="A9" s="48" t="str">
        <x:v>A008</x:v>
      </x:c>
      <x:c r="B9" s="48" t="str">
        <x:v>通用数据与校验</x:v>
      </x:c>
      <x:c r="C9" s="30" t="str">
        <x:v>缺失值处理</x:v>
      </x:c>
      <x:c r="D9" s="30" t="str">
        <x:v>数据处理工具</x:v>
      </x:c>
      <x:c r="E9" s="30" t="str">
        <x:v>规则填补/插值/KNN/模型填补</x:v>
      </x:c>
      <x:c r="F9" s="30" t="str">
        <x:v>表格、字段类型、策略</x:v>
      </x:c>
      <x:c r="G9" s="30" t="str">
        <x:v>填补数据、缺失标记、质量报告</x:v>
      </x:c>
      <x:c r="H9" s="48" t="str">
        <x:v>可选</x:v>
      </x:c>
      <x:c r="I9" s="30" t="str">
        <x:v>公开基础数据+项目数据字典</x:v>
      </x:c>
      <x:c r="J9" s="30" t="str">
        <x:v>Python函数；Pydantic参数校验；单元测试</x:v>
      </x:c>
      <x:c r="K9" s="48" t="str">
        <x:v>DS041,DS042</x:v>
      </x:c>
      <x:c r="L9" s="48" t="str">
        <x:v>P0</x:v>
      </x:c>
      <x:c r="M9" s="48" t="str">
        <x:v>中</x:v>
      </x:c>
      <x:c r="N9" s="30" t="str">
        <x:v>人工构造缺失+回填误差+防止标签泄漏</x:v>
      </x:c>
      <x:c r="O9" s="30" t="str">
        <x:v>仅在显式输入范围和单位体系内使用；超界必须返回警告</x:v>
      </x:c>
      <x:c r="P9" s="30" t="str">
        <x:v>impute_missing_values</x:v>
      </x:c>
    </x:row>
    <x:row r="10" ht="72" customHeight="1">
      <x:c r="A10" s="48" t="str">
        <x:v>A009</x:v>
      </x:c>
      <x:c r="B10" s="48" t="str">
        <x:v>通用数据与校验</x:v>
      </x:c>
      <x:c r="C10" s="30" t="str">
        <x:v>异常值检测</x:v>
      </x:c>
      <x:c r="D10" s="30" t="str">
        <x:v>统计/机器学习</x:v>
      </x:c>
      <x:c r="E10" s="30" t="str">
        <x:v>IQR、鲁棒Z分数、Isolation Forest</x:v>
      </x:c>
      <x:c r="F10" s="30" t="str">
        <x:v>时序/表格、分组键、阈值</x:v>
      </x:c>
      <x:c r="G10" s="30" t="str">
        <x:v>异常分数、异常标签、解释</x:v>
      </x:c>
      <x:c r="H10" s="48" t="str">
        <x:v>可选</x:v>
      </x:c>
      <x:c r="I10" s="30" t="str">
        <x:v>公开基础数据+项目数据字典</x:v>
      </x:c>
      <x:c r="J10" s="30" t="str">
        <x:v>Python函数；Pydantic参数校验；单元测试</x:v>
      </x:c>
      <x:c r="K10" s="48" t="str">
        <x:v>DS041,DS042</x:v>
      </x:c>
      <x:c r="L10" s="48" t="str">
        <x:v>P1</x:v>
      </x:c>
      <x:c r="M10" s="48" t="str">
        <x:v>中</x:v>
      </x:c>
      <x:c r="N10" s="30" t="str">
        <x:v>已知异常注入+专家抽检+误报/漏报</x:v>
      </x:c>
      <x:c r="O10" s="30" t="str">
        <x:v>仅在显式输入范围和单位体系内使用；超界必须返回警告</x:v>
      </x:c>
      <x:c r="P10" s="30" t="str">
        <x:v>detect_outliers</x:v>
      </x:c>
    </x:row>
    <x:row r="11" ht="72" customHeight="1">
      <x:c r="A11" s="48" t="str">
        <x:v>A010</x:v>
      </x:c>
      <x:c r="B11" s="48" t="str">
        <x:v>通用数据与校验</x:v>
      </x:c>
      <x:c r="C11" s="30" t="str">
        <x:v>不确定度传播</x:v>
      </x:c>
      <x:c r="D11" s="30" t="str">
        <x:v>数值分析</x:v>
      </x:c>
      <x:c r="E11" s="30" t="str">
        <x:v>一阶误差传播、Monte Carlo</x:v>
      </x:c>
      <x:c r="F11" s="30" t="str">
        <x:v>输入分布/协方差、计算函数</x:v>
      </x:c>
      <x:c r="G11" s="30" t="str">
        <x:v>输出分布、置信区间、敏感度</x:v>
      </x:c>
      <x:c r="H11" s="48" t="str">
        <x:v>否</x:v>
      </x:c>
      <x:c r="I11" s="30" t="str">
        <x:v>公开基础数据+项目数据字典</x:v>
      </x:c>
      <x:c r="J11" s="30" t="str">
        <x:v>Python函数；Pydantic参数校验；单元测试</x:v>
      </x:c>
      <x:c r="K11" s="48" t="str">
        <x:v>DS040</x:v>
      </x:c>
      <x:c r="L11" s="48" t="str">
        <x:v>P1</x:v>
      </x:c>
      <x:c r="M11" s="48" t="str">
        <x:v>中</x:v>
      </x:c>
      <x:c r="N11" s="30" t="str">
        <x:v>与Monte Carlo基准和解析传播公式比对</x:v>
      </x:c>
      <x:c r="O11" s="30" t="str">
        <x:v>仅在显式输入范围和单位体系内使用；超界必须返回警告</x:v>
      </x:c>
      <x:c r="P11" s="30" t="str">
        <x:v>propagate_uncertainty</x:v>
      </x:c>
    </x:row>
    <x:row r="12" ht="72" customHeight="1">
      <x:c r="A12" s="48" t="str">
        <x:v>B001</x:v>
      </x:c>
      <x:c r="B12" s="48" t="str">
        <x:v>热力学与相平衡</x:v>
      </x:c>
      <x:c r="C12" s="30" t="str">
        <x:v>Shomate热容计算</x:v>
      </x:c>
      <x:c r="D12" s="30" t="str">
        <x:v>确定性公式/规则</x:v>
      </x:c>
      <x:c r="E12" s="30" t="str">
        <x:v>标准多项式热容/焓/熵表达式</x:v>
      </x:c>
      <x:c r="F12" s="30" t="str">
        <x:v>物种、相态、温度、参数集</x:v>
      </x:c>
      <x:c r="G12" s="30" t="str">
        <x:v>Cp、H、S及适用温区</x:v>
      </x:c>
      <x:c r="H12" s="48" t="str">
        <x:v>否</x:v>
      </x:c>
      <x:c r="I12" s="30" t="str">
        <x:v>公开基础数据+项目数据字典</x:v>
      </x:c>
      <x:c r="J12" s="30" t="str">
        <x:v>Python函数；Pydantic参数校验；单元测试</x:v>
      </x:c>
      <x:c r="K12" s="48" t="str">
        <x:v>DS001,DS002,DS031,DS033</x:v>
      </x:c>
      <x:c r="L12" s="48" t="str">
        <x:v>P0</x:v>
      </x:c>
      <x:c r="M12" s="48" t="str">
        <x:v>低-中</x:v>
      </x:c>
      <x:c r="N12" s="30" t="str">
        <x:v>解析解/手算样例/边界值单元测试</x:v>
      </x:c>
      <x:c r="O12" s="30" t="str">
        <x:v>仅在显式输入范围和单位体系内使用；超界必须返回警告</x:v>
      </x:c>
      <x:c r="P12" s="30" t="str">
        <x:v>calc_shomate_properties</x:v>
      </x:c>
    </x:row>
    <x:row r="13" ht="72" customHeight="1">
      <x:c r="A13" s="48" t="str">
        <x:v>B002</x:v>
      </x:c>
      <x:c r="B13" s="48" t="str">
        <x:v>热力学与相平衡</x:v>
      </x:c>
      <x:c r="C13" s="30" t="str">
        <x:v>NASA多项式热物性计算</x:v>
      </x:c>
      <x:c r="D13" s="30" t="str">
        <x:v>确定性公式/规则</x:v>
      </x:c>
      <x:c r="E13" s="30" t="str">
        <x:v>标准多项式热容/焓/熵表达式</x:v>
      </x:c>
      <x:c r="F13" s="30" t="str">
        <x:v>物种、相态、温度、参数集</x:v>
      </x:c>
      <x:c r="G13" s="30" t="str">
        <x:v>Cp、H、S及适用温区</x:v>
      </x:c>
      <x:c r="H13" s="48" t="str">
        <x:v>否</x:v>
      </x:c>
      <x:c r="I13" s="30" t="str">
        <x:v>公开基础数据+项目数据字典</x:v>
      </x:c>
      <x:c r="J13" s="30" t="str">
        <x:v>Python函数；Pydantic参数校验；单元测试</x:v>
      </x:c>
      <x:c r="K13" s="48" t="str">
        <x:v>DS001,DS002,DS031,DS033</x:v>
      </x:c>
      <x:c r="L13" s="48" t="str">
        <x:v>P0</x:v>
      </x:c>
      <x:c r="M13" s="48" t="str">
        <x:v>低-中</x:v>
      </x:c>
      <x:c r="N13" s="30" t="str">
        <x:v>解析解/手算样例/边界值单元测试</x:v>
      </x:c>
      <x:c r="O13" s="30" t="str">
        <x:v>仅在显式输入范围和单位体系内使用；超界必须返回警告</x:v>
      </x:c>
      <x:c r="P13" s="30" t="str">
        <x:v>calc_nasa_properties</x:v>
      </x:c>
    </x:row>
    <x:row r="14" ht="72" customHeight="1">
      <x:c r="A14" s="48" t="str">
        <x:v>B003</x:v>
      </x:c>
      <x:c r="B14" s="48" t="str">
        <x:v>热力学与相平衡</x:v>
      </x:c>
      <x:c r="C14" s="30" t="str">
        <x:v>显热与焓积分</x:v>
      </x:c>
      <x:c r="D14" s="30" t="str">
        <x:v>确定性公式/规则</x:v>
      </x:c>
      <x:c r="E14" s="30" t="str">
        <x:v>热容积分与参考态转换</x:v>
      </x:c>
      <x:c r="F14" s="30" t="str">
        <x:v>物种、相态、温度区间、参考态</x:v>
      </x:c>
      <x:c r="G14" s="30" t="str">
        <x:v>H/S/G与分段积分记录</x:v>
      </x:c>
      <x:c r="H14" s="48" t="str">
        <x:v>否</x:v>
      </x:c>
      <x:c r="I14" s="30" t="str">
        <x:v>公开基础数据+项目数据字典</x:v>
      </x:c>
      <x:c r="J14" s="30" t="str">
        <x:v>Python函数；Pydantic参数校验；单元测试</x:v>
      </x:c>
      <x:c r="K14" s="48" t="str">
        <x:v>DS001,DS002,DS031,DS033</x:v>
      </x:c>
      <x:c r="L14" s="48" t="str">
        <x:v>P0</x:v>
      </x:c>
      <x:c r="M14" s="48" t="str">
        <x:v>低-中</x:v>
      </x:c>
      <x:c r="N14" s="30" t="str">
        <x:v>解析解/手算样例/边界值单元测试</x:v>
      </x:c>
      <x:c r="O14" s="30" t="str">
        <x:v>仅在显式输入范围和单位体系内使用；超界必须返回警告</x:v>
      </x:c>
      <x:c r="P14" s="30" t="str">
        <x:v>integrate_sensible_enthalpy</x:v>
      </x:c>
    </x:row>
    <x:row r="15" ht="72" customHeight="1">
      <x:c r="A15" s="48" t="str">
        <x:v>B004</x:v>
      </x:c>
      <x:c r="B15" s="48" t="str">
        <x:v>热力学与相平衡</x:v>
      </x:c>
      <x:c r="C15" s="30" t="str">
        <x:v>熵积分</x:v>
      </x:c>
      <x:c r="D15" s="30" t="str">
        <x:v>确定性公式/规则</x:v>
      </x:c>
      <x:c r="E15" s="30" t="str">
        <x:v>热容积分与参考态转换</x:v>
      </x:c>
      <x:c r="F15" s="30" t="str">
        <x:v>物种、相态、温度区间、参考态</x:v>
      </x:c>
      <x:c r="G15" s="30" t="str">
        <x:v>H/S/G与分段积分记录</x:v>
      </x:c>
      <x:c r="H15" s="48" t="str">
        <x:v>否</x:v>
      </x:c>
      <x:c r="I15" s="30" t="str">
        <x:v>公开基础数据+项目数据字典</x:v>
      </x:c>
      <x:c r="J15" s="30" t="str">
        <x:v>Python函数；Pydantic参数校验；单元测试</x:v>
      </x:c>
      <x:c r="K15" s="48" t="str">
        <x:v>DS001,DS002,DS031,DS033</x:v>
      </x:c>
      <x:c r="L15" s="48" t="str">
        <x:v>P0</x:v>
      </x:c>
      <x:c r="M15" s="48" t="str">
        <x:v>低-中</x:v>
      </x:c>
      <x:c r="N15" s="30" t="str">
        <x:v>解析解/手算样例/边界值单元测试</x:v>
      </x:c>
      <x:c r="O15" s="30" t="str">
        <x:v>仅在显式输入范围和单位体系内使用；超界必须返回警告</x:v>
      </x:c>
      <x:c r="P15" s="30" t="str">
        <x:v>integrate_entropy</x:v>
      </x:c>
    </x:row>
    <x:row r="16" ht="72" customHeight="1">
      <x:c r="A16" s="48" t="str">
        <x:v>B005</x:v>
      </x:c>
      <x:c r="B16" s="48" t="str">
        <x:v>热力学与相平衡</x:v>
      </x:c>
      <x:c r="C16" s="30" t="str">
        <x:v>Gibbs自由能计算</x:v>
      </x:c>
      <x:c r="D16" s="30" t="str">
        <x:v>确定性公式/规则</x:v>
      </x:c>
      <x:c r="E16" s="30" t="str">
        <x:v>热容积分与参考态转换</x:v>
      </x:c>
      <x:c r="F16" s="30" t="str">
        <x:v>物种、相态、温度区间、参考态</x:v>
      </x:c>
      <x:c r="G16" s="30" t="str">
        <x:v>H/S/G与分段积分记录</x:v>
      </x:c>
      <x:c r="H16" s="48" t="str">
        <x:v>否</x:v>
      </x:c>
      <x:c r="I16" s="30" t="str">
        <x:v>公开基础数据+项目数据字典</x:v>
      </x:c>
      <x:c r="J16" s="30" t="str">
        <x:v>Python函数；Pydantic参数校验；单元测试</x:v>
      </x:c>
      <x:c r="K16" s="48" t="str">
        <x:v>DS001,DS002,DS031,DS033</x:v>
      </x:c>
      <x:c r="L16" s="48" t="str">
        <x:v>P0</x:v>
      </x:c>
      <x:c r="M16" s="48" t="str">
        <x:v>低-中</x:v>
      </x:c>
      <x:c r="N16" s="30" t="str">
        <x:v>解析解/手算样例/边界值单元测试</x:v>
      </x:c>
      <x:c r="O16" s="30" t="str">
        <x:v>仅在显式输入范围和单位体系内使用；超界必须返回警告</x:v>
      </x:c>
      <x:c r="P16" s="30" t="str">
        <x:v>calc_gibbs_energy</x:v>
      </x:c>
    </x:row>
    <x:row r="17" ht="72" customHeight="1">
      <x:c r="A17" s="48" t="str">
        <x:v>B006</x:v>
      </x:c>
      <x:c r="B17" s="48" t="str">
        <x:v>热力学与相平衡</x:v>
      </x:c>
      <x:c r="C17" s="30" t="str">
        <x:v>反应焓计算</x:v>
      </x:c>
      <x:c r="D17" s="30" t="str">
        <x:v>确定性公式/规则</x:v>
      </x:c>
      <x:c r="E17" s="30" t="str">
        <x:v>反应计量加权与ΔG°=-RTlnK</x:v>
      </x:c>
      <x:c r="F17" s="30" t="str">
        <x:v>配平反应、温度、物种热力学数据</x:v>
      </x:c>
      <x:c r="G17" s="30" t="str">
        <x:v>ΔH/ΔS/ΔG/K、数据血缘</x:v>
      </x:c>
      <x:c r="H17" s="48" t="str">
        <x:v>否</x:v>
      </x:c>
      <x:c r="I17" s="30" t="str">
        <x:v>公开基础数据+项目数据字典</x:v>
      </x:c>
      <x:c r="J17" s="30" t="str">
        <x:v>Python函数；Pydantic参数校验；单元测试</x:v>
      </x:c>
      <x:c r="K17" s="48" t="str">
        <x:v>DS001,DS002,DS031,DS033</x:v>
      </x:c>
      <x:c r="L17" s="48" t="str">
        <x:v>P0</x:v>
      </x:c>
      <x:c r="M17" s="48" t="str">
        <x:v>低-中</x:v>
      </x:c>
      <x:c r="N17" s="30" t="str">
        <x:v>解析解/手算样例/边界值单元测试</x:v>
      </x:c>
      <x:c r="O17" s="30" t="str">
        <x:v>仅在显式输入范围和单位体系内使用；超界必须返回警告</x:v>
      </x:c>
      <x:c r="P17" s="30" t="str">
        <x:v>calc_reaction_enthalpy</x:v>
      </x:c>
    </x:row>
    <x:row r="18" ht="72" customHeight="1">
      <x:c r="A18" s="48" t="str">
        <x:v>B007</x:v>
      </x:c>
      <x:c r="B18" s="48" t="str">
        <x:v>热力学与相平衡</x:v>
      </x:c>
      <x:c r="C18" s="30" t="str">
        <x:v>反应熵计算</x:v>
      </x:c>
      <x:c r="D18" s="30" t="str">
        <x:v>确定性公式/规则</x:v>
      </x:c>
      <x:c r="E18" s="30" t="str">
        <x:v>反应计量加权与ΔG°=-RTlnK</x:v>
      </x:c>
      <x:c r="F18" s="30" t="str">
        <x:v>配平反应、温度、物种热力学数据</x:v>
      </x:c>
      <x:c r="G18" s="30" t="str">
        <x:v>ΔH/ΔS/ΔG/K、数据血缘</x:v>
      </x:c>
      <x:c r="H18" s="48" t="str">
        <x:v>否</x:v>
      </x:c>
      <x:c r="I18" s="30" t="str">
        <x:v>公开基础数据+项目数据字典</x:v>
      </x:c>
      <x:c r="J18" s="30" t="str">
        <x:v>Python函数；Pydantic参数校验；单元测试</x:v>
      </x:c>
      <x:c r="K18" s="48" t="str">
        <x:v>DS001,DS002,DS031,DS033</x:v>
      </x:c>
      <x:c r="L18" s="48" t="str">
        <x:v>P0</x:v>
      </x:c>
      <x:c r="M18" s="48" t="str">
        <x:v>低-中</x:v>
      </x:c>
      <x:c r="N18" s="30" t="str">
        <x:v>解析解/手算样例/边界值单元测试</x:v>
      </x:c>
      <x:c r="O18" s="30" t="str">
        <x:v>仅在显式输入范围和单位体系内使用；超界必须返回警告</x:v>
      </x:c>
      <x:c r="P18" s="30" t="str">
        <x:v>calc_reaction_entropy</x:v>
      </x:c>
    </x:row>
    <x:row r="19" ht="72" customHeight="1">
      <x:c r="A19" s="48" t="str">
        <x:v>B008</x:v>
      </x:c>
      <x:c r="B19" s="48" t="str">
        <x:v>热力学与相平衡</x:v>
      </x:c>
      <x:c r="C19" s="30" t="str">
        <x:v>反应Gibbs自由能计算</x:v>
      </x:c>
      <x:c r="D19" s="30" t="str">
        <x:v>确定性公式/规则</x:v>
      </x:c>
      <x:c r="E19" s="30" t="str">
        <x:v>反应计量加权与ΔG°=-RTlnK</x:v>
      </x:c>
      <x:c r="F19" s="30" t="str">
        <x:v>配平反应、温度、物种热力学数据</x:v>
      </x:c>
      <x:c r="G19" s="30" t="str">
        <x:v>ΔH/ΔS/ΔG/K、数据血缘</x:v>
      </x:c>
      <x:c r="H19" s="48" t="str">
        <x:v>否</x:v>
      </x:c>
      <x:c r="I19" s="30" t="str">
        <x:v>公开基础数据+项目数据字典</x:v>
      </x:c>
      <x:c r="J19" s="30" t="str">
        <x:v>Python函数；Pydantic参数校验；单元测试</x:v>
      </x:c>
      <x:c r="K19" s="48" t="str">
        <x:v>DS001,DS002,DS031,DS033</x:v>
      </x:c>
      <x:c r="L19" s="48" t="str">
        <x:v>P0</x:v>
      </x:c>
      <x:c r="M19" s="48" t="str">
        <x:v>低-中</x:v>
      </x:c>
      <x:c r="N19" s="30" t="str">
        <x:v>解析解/手算样例/边界值单元测试</x:v>
      </x:c>
      <x:c r="O19" s="30" t="str">
        <x:v>仅在显式输入范围和单位体系内使用；超界必须返回警告</x:v>
      </x:c>
      <x:c r="P19" s="30" t="str">
        <x:v>calc_reaction_gibbs</x:v>
      </x:c>
    </x:row>
    <x:row r="20" ht="72" customHeight="1">
      <x:c r="A20" s="48" t="str">
        <x:v>B009</x:v>
      </x:c>
      <x:c r="B20" s="48" t="str">
        <x:v>热力学与相平衡</x:v>
      </x:c>
      <x:c r="C20" s="30" t="str">
        <x:v>平衡常数计算</x:v>
      </x:c>
      <x:c r="D20" s="30" t="str">
        <x:v>确定性公式/规则</x:v>
      </x:c>
      <x:c r="E20" s="30" t="str">
        <x:v>反应计量加权与ΔG°=-RTlnK</x:v>
      </x:c>
      <x:c r="F20" s="30" t="str">
        <x:v>配平反应、温度、物种热力学数据</x:v>
      </x:c>
      <x:c r="G20" s="30" t="str">
        <x:v>ΔH/ΔS/ΔG/K、数据血缘</x:v>
      </x:c>
      <x:c r="H20" s="48" t="str">
        <x:v>否</x:v>
      </x:c>
      <x:c r="I20" s="30" t="str">
        <x:v>公开基础数据+项目数据字典</x:v>
      </x:c>
      <x:c r="J20" s="30" t="str">
        <x:v>Python函数；Pydantic参数校验；单元测试</x:v>
      </x:c>
      <x:c r="K20" s="48" t="str">
        <x:v>DS001,DS002,DS031,DS033</x:v>
      </x:c>
      <x:c r="L20" s="48" t="str">
        <x:v>P1</x:v>
      </x:c>
      <x:c r="M20" s="48" t="str">
        <x:v>低</x:v>
      </x:c>
      <x:c r="N20" s="30" t="str">
        <x:v>解析解/手算样例/边界值单元测试</x:v>
      </x:c>
      <x:c r="O20" s="30" t="str">
        <x:v>仅在显式输入范围和单位体系内使用；超界必须返回警告</x:v>
      </x:c>
      <x:c r="P20" s="30" t="str">
        <x:v>calc_equilibrium_constant</x:v>
      </x:c>
    </x:row>
    <x:row r="21" ht="72" customHeight="1">
      <x:c r="A21" s="48" t="str">
        <x:v>B010</x:v>
      </x:c>
      <x:c r="B21" s="48" t="str">
        <x:v>热力学与相平衡</x:v>
      </x:c>
      <x:c r="C21" s="30" t="str">
        <x:v>van't Hoff温度修正</x:v>
      </x:c>
      <x:c r="D21" s="30" t="str">
        <x:v>确定性公式/规则</x:v>
      </x:c>
      <x:c r="E21" s="30" t="str">
        <x:v>van't Hoff方程积分</x:v>
      </x:c>
      <x:c r="F21" s="30" t="str">
        <x:v>参考温度K值、反应焓、目标温度</x:v>
      </x:c>
      <x:c r="G21" s="30" t="str">
        <x:v>目标温度平衡常数</x:v>
      </x:c>
      <x:c r="H21" s="48" t="str">
        <x:v>否</x:v>
      </x:c>
      <x:c r="I21" s="30" t="str">
        <x:v>公开基础数据+项目数据字典</x:v>
      </x:c>
      <x:c r="J21" s="30" t="str">
        <x:v>Python函数；Pydantic参数校验；单元测试</x:v>
      </x:c>
      <x:c r="K21" s="48" t="str">
        <x:v>DS001,DS002,DS031,DS033</x:v>
      </x:c>
      <x:c r="L21" s="48" t="str">
        <x:v>P1</x:v>
      </x:c>
      <x:c r="M21" s="48" t="str">
        <x:v>低</x:v>
      </x:c>
      <x:c r="N21" s="30" t="str">
        <x:v>解析解/手算样例/边界值单元测试</x:v>
      </x:c>
      <x:c r="O21" s="30" t="str">
        <x:v>仅在显式输入范围和单位体系内使用；超界必须返回警告</x:v>
      </x:c>
      <x:c r="P21" s="30" t="str">
        <x:v>correct_vant_hoff</x:v>
      </x:c>
    </x:row>
    <x:row r="22" ht="72" customHeight="1">
      <x:c r="A22" s="48" t="str">
        <x:v>B011</x:v>
      </x:c>
      <x:c r="B22" s="48" t="str">
        <x:v>热力学与相平衡</x:v>
      </x:c>
      <x:c r="C22" s="30" t="str">
        <x:v>Ellingham线计算</x:v>
      </x:c>
      <x:c r="D22" s="30" t="str">
        <x:v>确定性公式/规则</x:v>
      </x:c>
      <x:c r="E22" s="30" t="str">
        <x:v>氧化反应ΔG°-T线与氧势换算</x:v>
      </x:c>
      <x:c r="F22" s="30" t="str">
        <x:v>氧化反应、温区、热力学参数</x:v>
      </x:c>
      <x:c r="G22" s="30" t="str">
        <x:v>Ellingham曲线点、交点、氧分压</x:v>
      </x:c>
      <x:c r="H22" s="48" t="str">
        <x:v>否</x:v>
      </x:c>
      <x:c r="I22" s="30" t="str">
        <x:v>公开基础数据+项目数据字典</x:v>
      </x:c>
      <x:c r="J22" s="30" t="str">
        <x:v>Python函数；Pydantic参数校验；单元测试</x:v>
      </x:c>
      <x:c r="K22" s="48" t="str">
        <x:v>DS001,DS002,DS031,DS033</x:v>
      </x:c>
      <x:c r="L22" s="48" t="str">
        <x:v>P1</x:v>
      </x:c>
      <x:c r="M22" s="48" t="str">
        <x:v>低</x:v>
      </x:c>
      <x:c r="N22" s="30" t="str">
        <x:v>解析解/手算样例/边界值单元测试</x:v>
      </x:c>
      <x:c r="O22" s="30" t="str">
        <x:v>仅在显式输入范围和单位体系内使用；超界必须返回警告</x:v>
      </x:c>
      <x:c r="P22" s="30" t="str">
        <x:v>calc_ellingham_line</x:v>
      </x:c>
    </x:row>
    <x:row r="23" ht="72" customHeight="1">
      <x:c r="A23" s="48" t="str">
        <x:v>B012</x:v>
      </x:c>
      <x:c r="B23" s="48" t="str">
        <x:v>热力学与相平衡</x:v>
      </x:c>
      <x:c r="C23" s="30" t="str">
        <x:v>绝热反应温度</x:v>
      </x:c>
      <x:c r="D23" s="30" t="str">
        <x:v>确定性公式/规则</x:v>
      </x:c>
      <x:c r="E23" s="30" t="str">
        <x:v>绝热能量守恒+非线性求根</x:v>
      </x:c>
      <x:c r="F23" s="30" t="str">
        <x:v>反应物、初温、转化率、相变</x:v>
      </x:c>
      <x:c r="G23" s="30" t="str">
        <x:v>绝热终温、能量闭合误差</x:v>
      </x:c>
      <x:c r="H23" s="48" t="str">
        <x:v>否</x:v>
      </x:c>
      <x:c r="I23" s="30" t="str">
        <x:v>公开基础数据+项目数据字典</x:v>
      </x:c>
      <x:c r="J23" s="30" t="str">
        <x:v>Python函数；Pydantic参数校验；单元测试</x:v>
      </x:c>
      <x:c r="K23" s="48" t="str">
        <x:v>DS001,DS002,DS031,DS033</x:v>
      </x:c>
      <x:c r="L23" s="48" t="str">
        <x:v>P1</x:v>
      </x:c>
      <x:c r="M23" s="48" t="str">
        <x:v>中</x:v>
      </x:c>
      <x:c r="N23" s="30" t="str">
        <x:v>解析解/手算样例/边界值单元测试</x:v>
      </x:c>
      <x:c r="O23" s="30" t="str">
        <x:v>仅在显式输入范围和单位体系内使用；超界必须返回警告</x:v>
      </x:c>
      <x:c r="P23" s="30" t="str">
        <x:v>calc_adiabatic_temperature</x:v>
      </x:c>
    </x:row>
    <x:row r="24" ht="72" customHeight="1">
      <x:c r="A24" s="48" t="str">
        <x:v>B013</x:v>
      </x:c>
      <x:c r="B24" s="48" t="str">
        <x:v>热力学与相平衡</x:v>
      </x:c>
      <x:c r="C24" s="30" t="str">
        <x:v>理想气体混合平衡</x:v>
      </x:c>
      <x:c r="D24" s="30" t="str">
        <x:v>确定性公式/规则</x:v>
      </x:c>
      <x:c r="E24" s="30" t="str">
        <x:v>理想气体化学势+Gibbs最小化</x:v>
      </x:c>
      <x:c r="F24" s="30" t="str">
        <x:v>物种集、元素总量、T、P</x:v>
      </x:c>
      <x:c r="G24" s="30" t="str">
        <x:v>平衡组成、G、收敛状态</x:v>
      </x:c>
      <x:c r="H24" s="48" t="str">
        <x:v>否</x:v>
      </x:c>
      <x:c r="I24" s="30" t="str">
        <x:v>公开基础数据+项目数据字典</x:v>
      </x:c>
      <x:c r="J24" s="30" t="str">
        <x:v>优先封装Cantera；SciPy交叉实现</x:v>
      </x:c>
      <x:c r="K24" s="48" t="str">
        <x:v>DS001,DS002,DS031,DS033</x:v>
      </x:c>
      <x:c r="L24" s="48" t="str">
        <x:v>P1</x:v>
      </x:c>
      <x:c r="M24" s="48" t="str">
        <x:v>中</x:v>
      </x:c>
      <x:c r="N24" s="30" t="str">
        <x:v>解析解/手算样例/边界值单元测试</x:v>
      </x:c>
      <x:c r="O24" s="30" t="str">
        <x:v>仅在显式输入范围和单位体系内使用；超界必须返回警告</x:v>
      </x:c>
      <x:c r="P24" s="30" t="str">
        <x:v>solve_ideal_gas_equilibrium</x:v>
      </x:c>
    </x:row>
    <x:row r="25" ht="72" customHeight="1">
      <x:c r="A25" s="48" t="str">
        <x:v>B014</x:v>
      </x:c>
      <x:c r="B25" s="48" t="str">
        <x:v>热力学与相平衡</x:v>
      </x:c>
      <x:c r="C25" s="30" t="str">
        <x:v>理想溶液活度</x:v>
      </x:c>
      <x:c r="D25" s="30" t="str">
        <x:v>确定性公式/规则</x:v>
      </x:c>
      <x:c r="E25" s="30" t="str">
        <x:v>溶液热力学活度/超额Gibbs模型</x:v>
      </x:c>
      <x:c r="F25" s="30" t="str">
        <x:v>组元、组成、温度、交互参数/标准态</x:v>
      </x:c>
      <x:c r="G25" s="30" t="str">
        <x:v>活度、活度系数、化学势</x:v>
      </x:c>
      <x:c r="H25" s="48" t="str">
        <x:v>否</x:v>
      </x:c>
      <x:c r="I25" s="30" t="str">
        <x:v>公开基础数据+项目数据字典</x:v>
      </x:c>
      <x:c r="J25" s="30" t="str">
        <x:v>Python函数；Pydantic参数校验；单元测试</x:v>
      </x:c>
      <x:c r="K25" s="48" t="str">
        <x:v>DS031,DS043,DS044</x:v>
      </x:c>
      <x:c r="L25" s="48" t="str">
        <x:v>P1</x:v>
      </x:c>
      <x:c r="M25" s="48" t="str">
        <x:v>中</x:v>
      </x:c>
      <x:c r="N25" s="30" t="str">
        <x:v>解析解/手算样例/边界值单元测试</x:v>
      </x:c>
      <x:c r="O25" s="30" t="str">
        <x:v>仅在显式输入范围和单位体系内使用；超界必须返回警告</x:v>
      </x:c>
      <x:c r="P25" s="30" t="str">
        <x:v>calc_ideal_solution_activity</x:v>
      </x:c>
    </x:row>
    <x:row r="26" ht="72" customHeight="1">
      <x:c r="A26" s="48" t="str">
        <x:v>B015</x:v>
      </x:c>
      <x:c r="B26" s="48" t="str">
        <x:v>热力学与相平衡</x:v>
      </x:c>
      <x:c r="C26" s="30" t="str">
        <x:v>正则溶液活度系数</x:v>
      </x:c>
      <x:c r="D26" s="30" t="str">
        <x:v>确定性公式/规则</x:v>
      </x:c>
      <x:c r="E26" s="30" t="str">
        <x:v>溶液热力学活度/超额Gibbs模型</x:v>
      </x:c>
      <x:c r="F26" s="30" t="str">
        <x:v>组元、组成、温度、交互参数/标准态</x:v>
      </x:c>
      <x:c r="G26" s="30" t="str">
        <x:v>活度、活度系数、化学势</x:v>
      </x:c>
      <x:c r="H26" s="48" t="str">
        <x:v>否</x:v>
      </x:c>
      <x:c r="I26" s="30" t="str">
        <x:v>公开基础数据+项目数据字典</x:v>
      </x:c>
      <x:c r="J26" s="30" t="str">
        <x:v>Python函数；Pydantic参数校验；单元测试</x:v>
      </x:c>
      <x:c r="K26" s="48" t="str">
        <x:v>DS031,DS043,DS044</x:v>
      </x:c>
      <x:c r="L26" s="48" t="str">
        <x:v>P1</x:v>
      </x:c>
      <x:c r="M26" s="48" t="str">
        <x:v>中</x:v>
      </x:c>
      <x:c r="N26" s="30" t="str">
        <x:v>解析解/手算样例/边界值单元测试</x:v>
      </x:c>
      <x:c r="O26" s="30" t="str">
        <x:v>仅在显式输入范围和单位体系内使用；超界必须返回警告</x:v>
      </x:c>
      <x:c r="P26" s="30" t="str">
        <x:v>calc_regular_solution_activity</x:v>
      </x:c>
    </x:row>
    <x:row r="27" ht="72" customHeight="1">
      <x:c r="A27" s="48" t="str">
        <x:v>B016</x:v>
      </x:c>
      <x:c r="B27" s="48" t="str">
        <x:v>热力学与相平衡</x:v>
      </x:c>
      <x:c r="C27" s="30" t="str">
        <x:v>Redlich-Kister超额Gibbs</x:v>
      </x:c>
      <x:c r="D27" s="30" t="str">
        <x:v>确定性公式/规则</x:v>
      </x:c>
      <x:c r="E27" s="30" t="str">
        <x:v>溶液热力学活度/超额Gibbs模型</x:v>
      </x:c>
      <x:c r="F27" s="30" t="str">
        <x:v>组元、组成、温度、交互参数/标准态</x:v>
      </x:c>
      <x:c r="G27" s="30" t="str">
        <x:v>活度、活度系数、化学势</x:v>
      </x:c>
      <x:c r="H27" s="48" t="str">
        <x:v>否</x:v>
      </x:c>
      <x:c r="I27" s="30" t="str">
        <x:v>公开基础数据+项目数据字典</x:v>
      </x:c>
      <x:c r="J27" s="30" t="str">
        <x:v>Python函数；Pydantic参数校验；单元测试</x:v>
      </x:c>
      <x:c r="K27" s="48" t="str">
        <x:v>DS031,DS043,DS044</x:v>
      </x:c>
      <x:c r="L27" s="48" t="str">
        <x:v>P1</x:v>
      </x:c>
      <x:c r="M27" s="48" t="str">
        <x:v>中</x:v>
      </x:c>
      <x:c r="N27" s="30" t="str">
        <x:v>解析解/手算样例/边界值单元测试</x:v>
      </x:c>
      <x:c r="O27" s="30" t="str">
        <x:v>仅在显式输入范围和单位体系内使用；超界必须返回警告</x:v>
      </x:c>
      <x:c r="P27" s="30" t="str">
        <x:v>calc_redlich_kister_gibbs</x:v>
      </x:c>
    </x:row>
    <x:row r="28" ht="72" customHeight="1">
      <x:c r="A28" s="48" t="str">
        <x:v>B017</x:v>
      </x:c>
      <x:c r="B28" s="48" t="str">
        <x:v>热力学与相平衡</x:v>
      </x:c>
      <x:c r="C28" s="30" t="str">
        <x:v>Henry/Raoult标准态切换</x:v>
      </x:c>
      <x:c r="D28" s="30" t="str">
        <x:v>确定性公式/规则</x:v>
      </x:c>
      <x:c r="E28" s="30" t="str">
        <x:v>溶液热力学活度/超额Gibbs模型</x:v>
      </x:c>
      <x:c r="F28" s="30" t="str">
        <x:v>组元、组成、温度、交互参数/标准态</x:v>
      </x:c>
      <x:c r="G28" s="30" t="str">
        <x:v>活度、活度系数、化学势</x:v>
      </x:c>
      <x:c r="H28" s="48" t="str">
        <x:v>否</x:v>
      </x:c>
      <x:c r="I28" s="30" t="str">
        <x:v>公开基础数据+项目数据字典</x:v>
      </x:c>
      <x:c r="J28" s="30" t="str">
        <x:v>Python函数；Pydantic参数校验；单元测试</x:v>
      </x:c>
      <x:c r="K28" s="48" t="str">
        <x:v>DS031,DS043,DS044</x:v>
      </x:c>
      <x:c r="L28" s="48" t="str">
        <x:v>P1</x:v>
      </x:c>
      <x:c r="M28" s="48" t="str">
        <x:v>中</x:v>
      </x:c>
      <x:c r="N28" s="30" t="str">
        <x:v>解析解/手算样例/边界值单元测试</x:v>
      </x:c>
      <x:c r="O28" s="30" t="str">
        <x:v>仅在显式输入范围和单位体系内使用；超界必须返回警告</x:v>
      </x:c>
      <x:c r="P28" s="30" t="str">
        <x:v>convert_henry_raoult_standard</x:v>
      </x:c>
    </x:row>
    <x:row r="29" ht="72" customHeight="1">
      <x:c r="A29" s="48" t="str">
        <x:v>B018</x:v>
      </x:c>
      <x:c r="B29" s="48" t="str">
        <x:v>热力学与相平衡</x:v>
      </x:c>
      <x:c r="C29" s="30" t="str">
        <x:v>Gibbs相律校验</x:v>
      </x:c>
      <x:c r="D29" s="30" t="str">
        <x:v>确定性公式/规则</x:v>
      </x:c>
      <x:c r="E29" s="30" t="str">
        <x:v>F=C-P+2及受约束变体</x:v>
      </x:c>
      <x:c r="F29" s="30" t="str">
        <x:v>组元数、相数、约束条件</x:v>
      </x:c>
      <x:c r="G29" s="30" t="str">
        <x:v>自由度、规则冲突</x:v>
      </x:c>
      <x:c r="H29" s="48" t="str">
        <x:v>否</x:v>
      </x:c>
      <x:c r="I29" s="30" t="str">
        <x:v>公开基础数据+项目数据字典</x:v>
      </x:c>
      <x:c r="J29" s="30" t="str">
        <x:v>Python函数；Pydantic参数校验；单元测试</x:v>
      </x:c>
      <x:c r="K29" s="48" t="str">
        <x:v>DS001,DS002,DS031,DS033</x:v>
      </x:c>
      <x:c r="L29" s="48" t="str">
        <x:v>P1</x:v>
      </x:c>
      <x:c r="M29" s="48" t="str">
        <x:v>低</x:v>
      </x:c>
      <x:c r="N29" s="30" t="str">
        <x:v>解析解/手算样例/边界值单元测试</x:v>
      </x:c>
      <x:c r="O29" s="30" t="str">
        <x:v>仅在显式输入范围和单位体系内使用；超界必须返回警告</x:v>
      </x:c>
      <x:c r="P29" s="30" t="str">
        <x:v>check_gibbs_phase_rule</x:v>
      </x:c>
    </x:row>
    <x:row r="30" ht="72" customHeight="1">
      <x:c r="A30" s="48" t="str">
        <x:v>B019</x:v>
      </x:c>
      <x:c r="B30" s="48" t="str">
        <x:v>热力学与相平衡</x:v>
      </x:c>
      <x:c r="C30" s="30" t="str">
        <x:v>杠杆规则计算</x:v>
      </x:c>
      <x:c r="D30" s="30" t="str">
        <x:v>确定性公式/规则</x:v>
      </x:c>
      <x:c r="E30" s="30" t="str">
        <x:v>二相区杠杆规则</x:v>
      </x:c>
      <x:c r="F30" s="30" t="str">
        <x:v>总体成分、两相边界成分</x:v>
      </x:c>
      <x:c r="G30" s="30" t="str">
        <x:v>相分数、守恒残差</x:v>
      </x:c>
      <x:c r="H30" s="48" t="str">
        <x:v>否</x:v>
      </x:c>
      <x:c r="I30" s="30" t="str">
        <x:v>公开基础数据+项目数据字典</x:v>
      </x:c>
      <x:c r="J30" s="30" t="str">
        <x:v>Python函数；Pydantic参数校验；单元测试</x:v>
      </x:c>
      <x:c r="K30" s="48" t="str">
        <x:v>DS001,DS002,DS031,DS033</x:v>
      </x:c>
      <x:c r="L30" s="48" t="str">
        <x:v>P2</x:v>
      </x:c>
      <x:c r="M30" s="48" t="str">
        <x:v>低</x:v>
      </x:c>
      <x:c r="N30" s="30" t="str">
        <x:v>解析解/手算样例/边界值单元测试</x:v>
      </x:c>
      <x:c r="O30" s="30" t="str">
        <x:v>仅在显式输入范围和单位体系内使用；超界必须返回警告</x:v>
      </x:c>
      <x:c r="P30" s="30" t="str">
        <x:v>calc_lever_rule</x:v>
      </x:c>
    </x:row>
    <x:row r="31" ht="72" customHeight="1">
      <x:c r="A31" s="48" t="str">
        <x:v>B020</x:v>
      </x:c>
      <x:c r="B31" s="48" t="str">
        <x:v>热力学与相平衡</x:v>
      </x:c>
      <x:c r="C31" s="30" t="str">
        <x:v>二元相界插值</x:v>
      </x:c>
      <x:c r="D31" s="30" t="str">
        <x:v>插值工具</x:v>
      </x:c>
      <x:c r="E31" s="30" t="str">
        <x:v>单调分段插值/样条</x:v>
      </x:c>
      <x:c r="F31" s="30" t="str">
        <x:v>相界离散点、温度/组成</x:v>
      </x:c>
      <x:c r="G31" s="30" t="str">
        <x:v>相界值、插值不确定度</x:v>
      </x:c>
      <x:c r="H31" s="48" t="str">
        <x:v>否</x:v>
      </x:c>
      <x:c r="I31" s="30" t="str">
        <x:v>公开基础数据+项目数据字典</x:v>
      </x:c>
      <x:c r="J31" s="30" t="str">
        <x:v>Python函数；Pydantic参数校验；单元测试</x:v>
      </x:c>
      <x:c r="K31" s="48" t="str">
        <x:v>DS001,DS002,DS031,DS033</x:v>
      </x:c>
      <x:c r="L31" s="48" t="str">
        <x:v>P2</x:v>
      </x:c>
      <x:c r="M31" s="48" t="str">
        <x:v>低</x:v>
      </x:c>
      <x:c r="N31" s="30" t="str">
        <x:v>解析解/手算样例/边界值单元测试</x:v>
      </x:c>
      <x:c r="O31" s="30" t="str">
        <x:v>仅在显式输入范围和单位体系内使用；超界必须返回警告</x:v>
      </x:c>
      <x:c r="P31" s="30" t="str">
        <x:v>interpolate_binary_phase_boundary</x:v>
      </x:c>
    </x:row>
    <x:row r="32" ht="72" customHeight="1">
      <x:c r="A32" s="48" t="str">
        <x:v>B021</x:v>
      </x:c>
      <x:c r="B32" s="48" t="str">
        <x:v>热力学与相平衡</x:v>
      </x:c>
      <x:c r="C32" s="30" t="str">
        <x:v>液相线/固相线回归</x:v>
      </x:c>
      <x:c r="D32" s="30" t="str">
        <x:v>回归模型</x:v>
      </x:c>
      <x:c r="E32" s="30" t="str">
        <x:v>物理约束回归/高斯过程</x:v>
      </x:c>
      <x:c r="F32" s="30" t="str">
        <x:v>钢种成分、实验/CALPHAD温度</x:v>
      </x:c>
      <x:c r="G32" s="30" t="str">
        <x:v>液相线/固相线温度、置信区间</x:v>
      </x:c>
      <x:c r="H32" s="48" t="str">
        <x:v>是</x:v>
      </x:c>
      <x:c r="I32" s="30" t="str">
        <x:v>DS031/DS043/DS044生成数据+DS042实验数据</x:v>
      </x:c>
      <x:c r="J32" s="30" t="str">
        <x:v>Python函数；Pydantic参数校验；单元测试</x:v>
      </x:c>
      <x:c r="K32" s="48" t="str">
        <x:v>DS031,DS041,DS042,DS043,DS044</x:v>
      </x:c>
      <x:c r="L32" s="48" t="str">
        <x:v>P2</x:v>
      </x:c>
      <x:c r="M32" s="48" t="str">
        <x:v>中</x:v>
      </x:c>
      <x:c r="N32" s="30" t="str">
        <x:v>按钢种留组测试+CALPHAD/实验对照</x:v>
      </x:c>
      <x:c r="O32" s="30" t="str">
        <x:v>结果依赖热力学数据库版本、相名映射与计算条件；必须返回数据库和软件版本</x:v>
      </x:c>
      <x:c r="P32" s="30" t="str">
        <x:v>fit_liquidus_solidus</x:v>
      </x:c>
    </x:row>
    <x:row r="33" ht="72" customHeight="1">
      <x:c r="A33" s="48" t="str">
        <x:v>B022</x:v>
      </x:c>
      <x:c r="B33" s="48" t="str">
        <x:v>热力学与相平衡</x:v>
      </x:c>
      <x:c r="C33" s="30" t="str">
        <x:v>多元多相Gibbs最小化</x:v>
      </x:c>
      <x:c r="D33" s="30" t="str">
        <x:v>数值优化</x:v>
      </x:c>
      <x:c r="E33" s="30" t="str">
        <x:v>元素守恒约束下全局/局部Gibbs最小化</x:v>
      </x:c>
      <x:c r="F33" s="30" t="str">
        <x:v>组元、候选相、T、P、G模型</x:v>
      </x:c>
      <x:c r="G33" s="30" t="str">
        <x:v>相组成、相分数、收敛诊断</x:v>
      </x:c>
      <x:c r="H33" s="48" t="str">
        <x:v>否</x:v>
      </x:c>
      <x:c r="I33" s="30" t="str">
        <x:v>公开基础数据+项目数据字典</x:v>
      </x:c>
      <x:c r="J33" s="30" t="str">
        <x:v>SciPy/Pyomo；多初值与凸包初始化</x:v>
      </x:c>
      <x:c r="K33" s="48" t="str">
        <x:v>DS034,DS038,DS040</x:v>
      </x:c>
      <x:c r="L33" s="48" t="str">
        <x:v>P2</x:v>
      </x:c>
      <x:c r="M33" s="48" t="str">
        <x:v>高</x:v>
      </x:c>
      <x:c r="N33" s="30" t="str">
        <x:v>已知二元/三元体系+元素守恒+全局性检查</x:v>
      </x:c>
      <x:c r="O33" s="30" t="str">
        <x:v>结果依赖热力学数据库版本、相名映射与计算条件；必须返回数据库和软件版本</x:v>
      </x:c>
      <x:c r="P33" s="30" t="str">
        <x:v>minimize_multiphase_gibbs</x:v>
      </x:c>
    </x:row>
    <x:row r="34" ht="72" customHeight="1">
      <x:c r="A34" s="48" t="str">
        <x:v>B023</x:v>
      </x:c>
      <x:c r="B34" s="48" t="str">
        <x:v>热力学与相平衡</x:v>
      </x:c>
      <x:c r="C34" s="30" t="str">
        <x:v>CALPHAD平衡计算封装</x:v>
      </x:c>
      <x:c r="D34" s="30" t="str">
        <x:v>软件封装</x:v>
      </x:c>
      <x:c r="E34" s="30" t="str">
        <x:v>pycalphad/OpenCalphad/Thermo-Calc/FactSage适配器</x:v>
      </x:c>
      <x:c r="F34" s="30" t="str">
        <x:v>数据库ID、组元、条件、输出请求</x:v>
      </x:c>
      <x:c r="G34" s="30" t="str">
        <x:v>相平衡结果、软件/数据库版本、日志</x:v>
      </x:c>
      <x:c r="H34" s="48" t="str">
        <x:v>否</x:v>
      </x:c>
      <x:c r="I34" s="30" t="str">
        <x:v>公开基础数据+项目数据字典</x:v>
      </x:c>
      <x:c r="J34" s="30" t="str">
        <x:v>统一Tool Schema与隔离执行；禁止模型直接接触数据库文件</x:v>
      </x:c>
      <x:c r="K34" s="48" t="str">
        <x:v>DS031,DS032,DS043,DS044</x:v>
      </x:c>
      <x:c r="L34" s="48" t="str">
        <x:v>P2</x:v>
      </x:c>
      <x:c r="M34" s="48" t="str">
        <x:v>高</x:v>
      </x:c>
      <x:c r="N34" s="30" t="str">
        <x:v>跨求解器已知体系比对+版本回归测试</x:v>
      </x:c>
      <x:c r="O34" s="30" t="str">
        <x:v>结果依赖热力学数据库版本、相名映射与计算条件；必须返回数据库和软件版本</x:v>
      </x:c>
      <x:c r="P34" s="30" t="str">
        <x:v>run_calphad_equilibrium</x:v>
      </x:c>
    </x:row>
    <x:row r="35" ht="72" customHeight="1">
      <x:c r="A35" s="48" t="str">
        <x:v>B024</x:v>
      </x:c>
      <x:c r="B35" s="48" t="str">
        <x:v>热力学与相平衡</x:v>
      </x:c>
      <x:c r="C35" s="30" t="str">
        <x:v>Scheil-Gulliver凝固计算</x:v>
      </x:c>
      <x:c r="D35" s="30" t="str">
        <x:v>凝固模型</x:v>
      </x:c>
      <x:c r="E35" s="30" t="str">
        <x:v>Scheil-Gulliver逐步凝固</x:v>
      </x:c>
      <x:c r="F35" s="30" t="str">
        <x:v>合金成分、温区、数据库、步长</x:v>
      </x:c>
      <x:c r="G35" s="30" t="str">
        <x:v>固相率、相序、偏析曲线</x:v>
      </x:c>
      <x:c r="H35" s="48" t="str">
        <x:v>否</x:v>
      </x:c>
      <x:c r="I35" s="30" t="str">
        <x:v>公开基础数据+项目数据字典</x:v>
      </x:c>
      <x:c r="J35" s="30" t="str">
        <x:v>pycalphad Scheil封装</x:v>
      </x:c>
      <x:c r="K35" s="48" t="str">
        <x:v>DS031,DS043</x:v>
      </x:c>
      <x:c r="L35" s="48" t="str">
        <x:v>P2</x:v>
      </x:c>
      <x:c r="M35" s="48" t="str">
        <x:v>高</x:v>
      </x:c>
      <x:c r="N35" s="30" t="str">
        <x:v>解析解/手算样例/边界值单元测试</x:v>
      </x:c>
      <x:c r="O35" s="30" t="str">
        <x:v>结果依赖热力学数据库版本、相名映射与计算条件；必须返回数据库和软件版本</x:v>
      </x:c>
      <x:c r="P35" s="30" t="str">
        <x:v>run_scheil_solidification</x:v>
      </x:c>
    </x:row>
    <x:row r="36" ht="72" customHeight="1">
      <x:c r="A36" s="48" t="str">
        <x:v>B025</x:v>
      </x:c>
      <x:c r="B36" s="48" t="str">
        <x:v>热力学与相平衡</x:v>
      </x:c>
      <x:c r="C36" s="30" t="str">
        <x:v>相图一致性校验</x:v>
      </x:c>
      <x:c r="D36" s="30" t="str">
        <x:v>规则校验器</x:v>
      </x:c>
      <x:c r="E36" s="30" t="str">
        <x:v>相律、相区邻接、杠杆规则、自由能最小</x:v>
      </x:c>
      <x:c r="F36" s="30" t="str">
        <x:v>相图拓扑/计算结果/测试点</x:v>
      </x:c>
      <x:c r="G36" s="30" t="str">
        <x:v>违规项、证据、严重级别</x:v>
      </x:c>
      <x:c r="H36" s="48" t="str">
        <x:v>否</x:v>
      </x:c>
      <x:c r="I36" s="30" t="str">
        <x:v>公开基础数据+项目数据字典</x:v>
      </x:c>
      <x:c r="J36" s="30" t="str">
        <x:v>Python函数；Pydantic参数校验；单元测试</x:v>
      </x:c>
      <x:c r="K36" s="48" t="str">
        <x:v>DS003,DS031,DS043,DS044</x:v>
      </x:c>
      <x:c r="L36" s="48" t="str">
        <x:v>P2</x:v>
      </x:c>
      <x:c r="M36" s="48" t="str">
        <x:v>高</x:v>
      </x:c>
      <x:c r="N36" s="30" t="str">
        <x:v>人工构造错误相图+专家标注测试集</x:v>
      </x:c>
      <x:c r="O36" s="30" t="str">
        <x:v>结果依赖热力学数据库版本、相名映射与计算条件；必须返回数据库和软件版本</x:v>
      </x:c>
      <x:c r="P36" s="30" t="str">
        <x:v>validate_phase_diagram</x:v>
      </x:c>
    </x:row>
    <x:row r="37" ht="72" customHeight="1">
      <x:c r="A37" s="48" t="str">
        <x:v>C001</x:v>
      </x:c>
      <x:c r="B37" s="48" t="str">
        <x:v>动力学与传递</x:v>
      </x:c>
      <x:c r="C37" s="30" t="str">
        <x:v>Arrhenius速率常数</x:v>
      </x:c>
      <x:c r="D37" s="30" t="str">
        <x:v>确定性公式/规则</x:v>
      </x:c>
      <x:c r="E37" s="30" t="str">
        <x:v>k=Aexp(-Ea/RT)</x:v>
      </x:c>
      <x:c r="F37" s="30" t="str">
        <x:v>A、Ea、T及单位</x:v>
      </x:c>
      <x:c r="G37" s="30" t="str">
        <x:v>速率常数、灵敏度</x:v>
      </x:c>
      <x:c r="H37" s="48" t="str">
        <x:v>否</x:v>
      </x:c>
      <x:c r="I37" s="30" t="str">
        <x:v>公开基础数据+项目数据字典</x:v>
      </x:c>
      <x:c r="J37" s="30" t="str">
        <x:v>Python函数；Pydantic参数校验；单元测试</x:v>
      </x:c>
      <x:c r="K37" s="48" t="str">
        <x:v>DS040,DS042</x:v>
      </x:c>
      <x:c r="L37" s="48" t="str">
        <x:v>P0</x:v>
      </x:c>
      <x:c r="M37" s="48" t="str">
        <x:v>低-中</x:v>
      </x:c>
      <x:c r="N37" s="30" t="str">
        <x:v>解析解/手算样例/边界值单元测试</x:v>
      </x:c>
      <x:c r="O37" s="30" t="str">
        <x:v>仅在显式输入范围和单位体系内使用；超界必须返回警告</x:v>
      </x:c>
      <x:c r="P37" s="30" t="str">
        <x:v>calc_arrhenius_rate</x:v>
      </x:c>
    </x:row>
    <x:row r="38" ht="72" customHeight="1">
      <x:c r="A38" s="48" t="str">
        <x:v>C002</x:v>
      </x:c>
      <x:c r="B38" s="48" t="str">
        <x:v>动力学与传递</x:v>
      </x:c>
      <x:c r="C38" s="30" t="str">
        <x:v>扩散系数计算</x:v>
      </x:c>
      <x:c r="D38" s="30" t="str">
        <x:v>确定性公式/规则</x:v>
      </x:c>
      <x:c r="E38" s="30" t="str">
        <x:v>Arrhenius扩散系数/经验关联</x:v>
      </x:c>
      <x:c r="F38" s="30" t="str">
        <x:v>D0、Q、T或组分</x:v>
      </x:c>
      <x:c r="G38" s="30" t="str">
        <x:v>扩散系数</x:v>
      </x:c>
      <x:c r="H38" s="48" t="str">
        <x:v>否</x:v>
      </x:c>
      <x:c r="I38" s="30" t="str">
        <x:v>公开基础数据+项目数据字典</x:v>
      </x:c>
      <x:c r="J38" s="30" t="str">
        <x:v>Python函数；Pydantic参数校验；单元测试</x:v>
      </x:c>
      <x:c r="K38" s="48" t="str">
        <x:v>DS040,DS042</x:v>
      </x:c>
      <x:c r="L38" s="48" t="str">
        <x:v>P0</x:v>
      </x:c>
      <x:c r="M38" s="48" t="str">
        <x:v>低-中</x:v>
      </x:c>
      <x:c r="N38" s="30" t="str">
        <x:v>解析解/手算样例/边界值单元测试</x:v>
      </x:c>
      <x:c r="O38" s="30" t="str">
        <x:v>仅在显式输入范围和单位体系内使用；超界必须返回警告</x:v>
      </x:c>
      <x:c r="P38" s="30" t="str">
        <x:v>calc_diffusion_coefficient</x:v>
      </x:c>
    </x:row>
    <x:row r="39" ht="72" customHeight="1">
      <x:c r="A39" s="48" t="str">
        <x:v>C003</x:v>
      </x:c>
      <x:c r="B39" s="48" t="str">
        <x:v>动力学与传递</x:v>
      </x:c>
      <x:c r="C39" s="30" t="str">
        <x:v>Fick一维扩散</x:v>
      </x:c>
      <x:c r="D39" s="30" t="str">
        <x:v>PDE求解</x:v>
      </x:c>
      <x:c r="E39" s="30" t="str">
        <x:v>Fick第二定律有限差分/有限体积</x:v>
      </x:c>
      <x:c r="F39" s="30" t="str">
        <x:v>空间网格、初边值、D(t,x)</x:v>
      </x:c>
      <x:c r="G39" s="30" t="str">
        <x:v>浓度场、通量、守恒误差</x:v>
      </x:c>
      <x:c r="H39" s="48" t="str">
        <x:v>否</x:v>
      </x:c>
      <x:c r="I39" s="30" t="str">
        <x:v>公开基础数据+项目数据字典</x:v>
      </x:c>
      <x:c r="J39" s="30" t="str">
        <x:v>NumPy/SciPy或FiPy</x:v>
      </x:c>
      <x:c r="K39" s="48" t="str">
        <x:v>DS036,DS040</x:v>
      </x:c>
      <x:c r="L39" s="48" t="str">
        <x:v>P1</x:v>
      </x:c>
      <x:c r="M39" s="48" t="str">
        <x:v>中</x:v>
      </x:c>
      <x:c r="N39" s="30" t="str">
        <x:v>解析解/手算样例/边界值单元测试</x:v>
      </x:c>
      <x:c r="O39" s="30" t="str">
        <x:v>仅在显式输入范围和单位体系内使用；超界必须返回警告</x:v>
      </x:c>
      <x:c r="P39" s="30" t="str">
        <x:v>solve_fick_1d</x:v>
      </x:c>
    </x:row>
    <x:row r="40" ht="72" customHeight="1">
      <x:c r="A40" s="48" t="str">
        <x:v>C004</x:v>
      </x:c>
      <x:c r="B40" s="48" t="str">
        <x:v>动力学与传递</x:v>
      </x:c>
      <x:c r="C40" s="30" t="str">
        <x:v>JMAK相变动力学</x:v>
      </x:c>
      <x:c r="D40" s="30" t="str">
        <x:v>确定性公式/规则</x:v>
      </x:c>
      <x:c r="E40" s="30" t="str">
        <x:v>X=1-exp[-(kt)^n]</x:v>
      </x:c>
      <x:c r="F40" s="30" t="str">
        <x:v>温度历程、k/n参数</x:v>
      </x:c>
      <x:c r="G40" s="30" t="str">
        <x:v>转变量—时间曲线</x:v>
      </x:c>
      <x:c r="H40" s="48" t="str">
        <x:v>否</x:v>
      </x:c>
      <x:c r="I40" s="30" t="str">
        <x:v>公开基础数据+项目数据字典</x:v>
      </x:c>
      <x:c r="J40" s="30" t="str">
        <x:v>Python函数；Pydantic参数校验；单元测试</x:v>
      </x:c>
      <x:c r="K40" s="48" t="str">
        <x:v>DS040,DS042</x:v>
      </x:c>
      <x:c r="L40" s="48" t="str">
        <x:v>P1</x:v>
      </x:c>
      <x:c r="M40" s="48" t="str">
        <x:v>低</x:v>
      </x:c>
      <x:c r="N40" s="30" t="str">
        <x:v>解析解/手算样例/边界值单元测试</x:v>
      </x:c>
      <x:c r="O40" s="30" t="str">
        <x:v>动力学参数高度依赖材料状态与设备条件；公开参数只能作初始值，需本地标定</x:v>
      </x:c>
      <x:c r="P40" s="30" t="str">
        <x:v>calc_jmak_transformation</x:v>
      </x:c>
    </x:row>
    <x:row r="41" ht="72" customHeight="1">
      <x:c r="A41" s="48" t="str">
        <x:v>C005</x:v>
      </x:c>
      <x:c r="B41" s="48" t="str">
        <x:v>动力学与传递</x:v>
      </x:c>
      <x:c r="C41" s="30" t="str">
        <x:v>晶粒长大动力学</x:v>
      </x:c>
      <x:c r="D41" s="30" t="str">
        <x:v>确定性公式/规则</x:v>
      </x:c>
      <x:c r="E41" s="30" t="str">
        <x:v>D^n-D0^n=Kt</x:v>
      </x:c>
      <x:c r="F41" s="30" t="str">
        <x:v>初始晶粒、温度历程、参数</x:v>
      </x:c>
      <x:c r="G41" s="30" t="str">
        <x:v>晶粒尺寸</x:v>
      </x:c>
      <x:c r="H41" s="48" t="str">
        <x:v>否</x:v>
      </x:c>
      <x:c r="I41" s="30" t="str">
        <x:v>公开基础数据+项目数据字典</x:v>
      </x:c>
      <x:c r="J41" s="30" t="str">
        <x:v>Python函数；Pydantic参数校验；单元测试</x:v>
      </x:c>
      <x:c r="K41" s="48" t="str">
        <x:v>DS040,DS042</x:v>
      </x:c>
      <x:c r="L41" s="48" t="str">
        <x:v>P1</x:v>
      </x:c>
      <x:c r="M41" s="48" t="str">
        <x:v>低</x:v>
      </x:c>
      <x:c r="N41" s="30" t="str">
        <x:v>解析解/手算样例/边界值单元测试</x:v>
      </x:c>
      <x:c r="O41" s="30" t="str">
        <x:v>动力学参数高度依赖材料状态与设备条件；公开参数只能作初始值，需本地标定</x:v>
      </x:c>
      <x:c r="P41" s="30" t="str">
        <x:v>calc_grain_growth</x:v>
      </x:c>
    </x:row>
    <x:row r="42" ht="72" customHeight="1">
      <x:c r="A42" s="48" t="str">
        <x:v>C006</x:v>
      </x:c>
      <x:c r="B42" s="48" t="str">
        <x:v>动力学与传递</x:v>
      </x:c>
      <x:c r="C42" s="30" t="str">
        <x:v>缩核反应模型</x:v>
      </x:c>
      <x:c r="D42" s="30" t="str">
        <x:v>确定性公式/规则</x:v>
      </x:c>
      <x:c r="E42" s="30" t="str">
        <x:v>膜扩散/界面反应/产物层扩散串联</x:v>
      </x:c>
      <x:c r="F42" s="30" t="str">
        <x:v>粒径、气体浓度、动力学参数</x:v>
      </x:c>
      <x:c r="G42" s="30" t="str">
        <x:v>转化率、控速步骤</x:v>
      </x:c>
      <x:c r="H42" s="48" t="str">
        <x:v>否</x:v>
      </x:c>
      <x:c r="I42" s="30" t="str">
        <x:v>公开基础数据+项目数据字典</x:v>
      </x:c>
      <x:c r="J42" s="30" t="str">
        <x:v>Python函数；Pydantic参数校验；单元测试</x:v>
      </x:c>
      <x:c r="K42" s="48" t="str">
        <x:v>DS040,DS042</x:v>
      </x:c>
      <x:c r="L42" s="48" t="str">
        <x:v>P1</x:v>
      </x:c>
      <x:c r="M42" s="48" t="str">
        <x:v>低</x:v>
      </x:c>
      <x:c r="N42" s="30" t="str">
        <x:v>解析解/手算样例/边界值单元测试</x:v>
      </x:c>
      <x:c r="O42" s="30" t="str">
        <x:v>动力学参数高度依赖材料状态与设备条件；公开参数只能作初始值，需本地标定</x:v>
      </x:c>
      <x:c r="P42" s="30" t="str">
        <x:v>solve_shrinking_core</x:v>
      </x:c>
    </x:row>
    <x:row r="43" ht="72" customHeight="1">
      <x:c r="A43" s="48" t="str">
        <x:v>C007</x:v>
      </x:c>
      <x:c r="B43" s="48" t="str">
        <x:v>动力学与传递</x:v>
      </x:c>
      <x:c r="C43" s="30" t="str">
        <x:v>抛物线氧化动力学</x:v>
      </x:c>
      <x:c r="D43" s="30" t="str">
        <x:v>确定性公式/规则</x:v>
      </x:c>
      <x:c r="E43" s="30" t="str">
        <x:v>质量增重平方律</x:v>
      </x:c>
      <x:c r="F43" s="30" t="str">
        <x:v>温度、时间、氧化常数</x:v>
      </x:c>
      <x:c r="G43" s="30" t="str">
        <x:v>氧化层厚度/质量增重</x:v>
      </x:c>
      <x:c r="H43" s="48" t="str">
        <x:v>否</x:v>
      </x:c>
      <x:c r="I43" s="30" t="str">
        <x:v>公开基础数据+项目数据字典</x:v>
      </x:c>
      <x:c r="J43" s="30" t="str">
        <x:v>Python函数；Pydantic参数校验；单元测试</x:v>
      </x:c>
      <x:c r="K43" s="48" t="str">
        <x:v>DS040,DS042</x:v>
      </x:c>
      <x:c r="L43" s="48" t="str">
        <x:v>P1</x:v>
      </x:c>
      <x:c r="M43" s="48" t="str">
        <x:v>低</x:v>
      </x:c>
      <x:c r="N43" s="30" t="str">
        <x:v>解析解/手算样例/边界值单元测试</x:v>
      </x:c>
      <x:c r="O43" s="30" t="str">
        <x:v>动力学参数高度依赖材料状态与设备条件；公开参数只能作初始值，需本地标定</x:v>
      </x:c>
      <x:c r="P43" s="30" t="str">
        <x:v>calc_parabolic_oxidation</x:v>
      </x:c>
    </x:row>
    <x:row r="44" ht="72" customHeight="1">
      <x:c r="A44" s="48" t="str">
        <x:v>C008</x:v>
      </x:c>
      <x:c r="B44" s="48" t="str">
        <x:v>动力学与传递</x:v>
      </x:c>
      <x:c r="C44" s="30" t="str">
        <x:v>熔渣/钢液黏度估算</x:v>
      </x:c>
      <x:c r="D44" s="30" t="str">
        <x:v>经验/机器学习</x:v>
      </x:c>
      <x:c r="E44" s="30" t="str">
        <x:v>组分—温度经验关联或回归</x:v>
      </x:c>
      <x:c r="F44" s="30" t="str">
        <x:v>渣/钢组成、温度</x:v>
      </x:c>
      <x:c r="G44" s="30" t="str">
        <x:v>黏度、置信区间</x:v>
      </x:c>
      <x:c r="H44" s="48" t="str">
        <x:v>可选</x:v>
      </x:c>
      <x:c r="I44" s="30" t="str">
        <x:v>公开基础数据+项目数据字典</x:v>
      </x:c>
      <x:c r="J44" s="30" t="str">
        <x:v>Python函数；Pydantic参数校验；单元测试</x:v>
      </x:c>
      <x:c r="K44" s="48" t="str">
        <x:v>DS011,DS041,DS042,DS044</x:v>
      </x:c>
      <x:c r="L44" s="48" t="str">
        <x:v>P2</x:v>
      </x:c>
      <x:c r="M44" s="48" t="str">
        <x:v>中</x:v>
      </x:c>
      <x:c r="N44" s="30" t="str">
        <x:v>独立实验/商业软件对照+成分留组</x:v>
      </x:c>
      <x:c r="O44" s="30" t="str">
        <x:v>动力学参数高度依赖材料状态与设备条件；公开参数只能作初始值，需本地标定</x:v>
      </x:c>
      <x:c r="P44" s="30" t="str">
        <x:v>estimate_melt_viscosity</x:v>
      </x:c>
    </x:row>
    <x:row r="45" ht="72" customHeight="1">
      <x:c r="A45" s="48" t="str">
        <x:v>C009</x:v>
      </x:c>
      <x:c r="B45" s="48" t="str">
        <x:v>动力学与传递</x:v>
      </x:c>
      <x:c r="C45" s="30" t="str">
        <x:v>导热系数混合规则</x:v>
      </x:c>
      <x:c r="D45" s="30" t="str">
        <x:v>确定性公式/规则</x:v>
      </x:c>
      <x:c r="E45" s="30" t="str">
        <x:v>串并联、Maxwell-Eucken等混合规则</x:v>
      </x:c>
      <x:c r="F45" s="30" t="str">
        <x:v>各相导热率、相分数、结构假设</x:v>
      </x:c>
      <x:c r="G45" s="30" t="str">
        <x:v>有效导热率、上下界</x:v>
      </x:c>
      <x:c r="H45" s="48" t="str">
        <x:v>否</x:v>
      </x:c>
      <x:c r="I45" s="30" t="str">
        <x:v>公开基础数据+项目数据字典</x:v>
      </x:c>
      <x:c r="J45" s="30" t="str">
        <x:v>Python函数；Pydantic参数校验；单元测试</x:v>
      </x:c>
      <x:c r="K45" s="48" t="str">
        <x:v>DS040,DS042</x:v>
      </x:c>
      <x:c r="L45" s="48" t="str">
        <x:v>P2</x:v>
      </x:c>
      <x:c r="M45" s="48" t="str">
        <x:v>低</x:v>
      </x:c>
      <x:c r="N45" s="30" t="str">
        <x:v>解析解/手算样例/边界值单元测试</x:v>
      </x:c>
      <x:c r="O45" s="30" t="str">
        <x:v>仅在显式输入范围和单位体系内使用；超界必须返回警告</x:v>
      </x:c>
      <x:c r="P45" s="30" t="str">
        <x:v>mix_thermal_conductivity</x:v>
      </x:c>
    </x:row>
    <x:row r="46" ht="72" customHeight="1">
      <x:c r="A46" s="48" t="str">
        <x:v>C010</x:v>
      </x:c>
      <x:c r="B46" s="48" t="str">
        <x:v>动力学与传递</x:v>
      </x:c>
      <x:c r="C46" s="30" t="str">
        <x:v>界面传质系数估算</x:v>
      </x:c>
      <x:c r="D46" s="30" t="str">
        <x:v>确定性公式/规则</x:v>
      </x:c>
      <x:c r="E46" s="30" t="str">
        <x:v>Sherwood/Reynolds/Schmidt关联</x:v>
      </x:c>
      <x:c r="F46" s="30" t="str">
        <x:v>流速、尺度、物性、几何</x:v>
      </x:c>
      <x:c r="G46" s="30" t="str">
        <x:v>传质系数、适用Re范围</x:v>
      </x:c>
      <x:c r="H46" s="48" t="str">
        <x:v>否</x:v>
      </x:c>
      <x:c r="I46" s="30" t="str">
        <x:v>公开基础数据+项目数据字典</x:v>
      </x:c>
      <x:c r="J46" s="30" t="str">
        <x:v>Python函数；Pydantic参数校验；单元测试</x:v>
      </x:c>
      <x:c r="K46" s="48" t="str">
        <x:v>DS040,DS042</x:v>
      </x:c>
      <x:c r="L46" s="48" t="str">
        <x:v>P2</x:v>
      </x:c>
      <x:c r="M46" s="48" t="str">
        <x:v>低</x:v>
      </x:c>
      <x:c r="N46" s="30" t="str">
        <x:v>解析解/手算样例/边界值单元测试</x:v>
      </x:c>
      <x:c r="O46" s="30" t="str">
        <x:v>动力学参数高度依赖材料状态与设备条件；公开参数只能作初始值，需本地标定</x:v>
      </x:c>
      <x:c r="P46" s="30" t="str">
        <x:v>estimate_mass_transfer_coefficient</x:v>
      </x:c>
    </x:row>
    <x:row r="47" ht="72" customHeight="1">
      <x:c r="A47" s="48" t="str">
        <x:v>D001</x:v>
      </x:c>
      <x:c r="B47" s="48" t="str">
        <x:v>转炉炼钢</x:v>
      </x:c>
      <x:c r="C47" s="30" t="str">
        <x:v>转炉装料物料平衡</x:v>
      </x:c>
      <x:c r="D47" s="30" t="str">
        <x:v>确定性公式/规则</x:v>
      </x:c>
      <x:c r="E47" s="30" t="str">
        <x:v>铁、碳、硅、锰、磷等元素收支</x:v>
      </x:c>
      <x:c r="F47" s="30" t="str">
        <x:v>铁水/废钢/熔剂/目标钢水</x:v>
      </x:c>
      <x:c r="G47" s="30" t="str">
        <x:v>各物流质量、元素闭合率</x:v>
      </x:c>
      <x:c r="H47" s="48" t="str">
        <x:v>否</x:v>
      </x:c>
      <x:c r="I47" s="30" t="str">
        <x:v>DS042企业炉次数据+原料/热化学数据</x:v>
      </x:c>
      <x:c r="J47" s="30" t="str">
        <x:v>Python函数；Pydantic参数校验；单元测试</x:v>
      </x:c>
      <x:c r="K47" s="48" t="str">
        <x:v>DS025,DS042</x:v>
      </x:c>
      <x:c r="L47" s="48" t="str">
        <x:v>P0</x:v>
      </x:c>
      <x:c r="M47" s="48" t="str">
        <x:v>低-中</x:v>
      </x:c>
      <x:c r="N47" s="30" t="str">
        <x:v>解析解/手算样例/边界值单元测试</x:v>
      </x:c>
      <x:c r="O47" s="30" t="str">
        <x:v>必须按转炉、炉龄、原料和钢种标定；预测/优化结果仅作辅助，超出训练分布需人工确认</x:v>
      </x:c>
      <x:c r="P47" s="30" t="str">
        <x:v>balance_bof_charge</x:v>
      </x:c>
    </x:row>
    <x:row r="48" ht="72" customHeight="1">
      <x:c r="A48" s="48" t="str">
        <x:v>D002</x:v>
      </x:c>
      <x:c r="B48" s="48" t="str">
        <x:v>转炉炼钢</x:v>
      </x:c>
      <x:c r="C48" s="30" t="str">
        <x:v>铁水-废钢热平衡</x:v>
      </x:c>
      <x:c r="D48" s="30" t="str">
        <x:v>确定性公式/规则</x:v>
      </x:c>
      <x:c r="E48" s="30" t="str">
        <x:v>显热、反应热、熔化热、散热能量平衡</x:v>
      </x:c>
      <x:c r="F48" s="30" t="str">
        <x:v>装料、温度、成分、热损失</x:v>
      </x:c>
      <x:c r="G48" s="30" t="str">
        <x:v>可熔废钢量、终点温度、热闭合率</x:v>
      </x:c>
      <x:c r="H48" s="48" t="str">
        <x:v>否</x:v>
      </x:c>
      <x:c r="I48" s="30" t="str">
        <x:v>DS042企业炉次数据+原料/热化学数据</x:v>
      </x:c>
      <x:c r="J48" s="30" t="str">
        <x:v>Python函数；Pydantic参数校验；单元测试</x:v>
      </x:c>
      <x:c r="K48" s="48" t="str">
        <x:v>DS001,DS002,DS025,DS042</x:v>
      </x:c>
      <x:c r="L48" s="48" t="str">
        <x:v>P0</x:v>
      </x:c>
      <x:c r="M48" s="48" t="str">
        <x:v>低-中</x:v>
      </x:c>
      <x:c r="N48" s="30" t="str">
        <x:v>解析解/手算样例/边界值单元测试</x:v>
      </x:c>
      <x:c r="O48" s="30" t="str">
        <x:v>必须按转炉、炉龄、原料和钢种标定；预测/优化结果仅作辅助，超出训练分布需人工确认</x:v>
      </x:c>
      <x:c r="P48" s="30" t="str">
        <x:v>balance_bof_heat</x:v>
      </x:c>
    </x:row>
    <x:row r="49" ht="72" customHeight="1">
      <x:c r="A49" s="48" t="str">
        <x:v>D003</x:v>
      </x:c>
      <x:c r="B49" s="48" t="str">
        <x:v>转炉炼钢</x:v>
      </x:c>
      <x:c r="C49" s="30" t="str">
        <x:v>理论耗氧量</x:v>
      </x:c>
      <x:c r="D49" s="30" t="str">
        <x:v>确定性公式/规则</x:v>
      </x:c>
      <x:c r="E49" s="30" t="str">
        <x:v>Si/Mn/C/P/Fe氧化化学计量</x:v>
      </x:c>
      <x:c r="F49" s="30" t="str">
        <x:v>铁水成分、目标终点、收得率</x:v>
      </x:c>
      <x:c r="G49" s="30" t="str">
        <x:v>理论氧量、分元素耗氧</x:v>
      </x:c>
      <x:c r="H49" s="48" t="str">
        <x:v>否</x:v>
      </x:c>
      <x:c r="I49" s="30" t="str">
        <x:v>DS042企业炉次数据+原料/热化学数据</x:v>
      </x:c>
      <x:c r="J49" s="30" t="str">
        <x:v>Python函数；Pydantic参数校验；单元测试</x:v>
      </x:c>
      <x:c r="K49" s="48" t="str">
        <x:v>DS025,DS042</x:v>
      </x:c>
      <x:c r="L49" s="48" t="str">
        <x:v>P0</x:v>
      </x:c>
      <x:c r="M49" s="48" t="str">
        <x:v>低-中</x:v>
      </x:c>
      <x:c r="N49" s="30" t="str">
        <x:v>解析解/手算样例/边界值单元测试</x:v>
      </x:c>
      <x:c r="O49" s="30" t="str">
        <x:v>必须按转炉、炉龄、原料和钢种标定；预测/优化结果仅作辅助，超出训练分布需人工确认</x:v>
      </x:c>
      <x:c r="P49" s="30" t="str">
        <x:v>calc_bof_oxygen_demand</x:v>
      </x:c>
    </x:row>
    <x:row r="50" ht="72" customHeight="1">
      <x:c r="A50" s="48" t="str">
        <x:v>D004</x:v>
      </x:c>
      <x:c r="B50" s="48" t="str">
        <x:v>转炉炼钢</x:v>
      </x:c>
      <x:c r="C50" s="30" t="str">
        <x:v>石灰/白云石加入量</x:v>
      </x:c>
      <x:c r="D50" s="30" t="str">
        <x:v>确定性公式/规则</x:v>
      </x:c>
      <x:c r="E50" s="30" t="str">
        <x:v>目标碱度/MgO约束的熔剂配平</x:v>
      </x:c>
      <x:c r="F50" s="30" t="str">
        <x:v>Si/P、目标碱度、石灰/白云石成分</x:v>
      </x:c>
      <x:c r="G50" s="30" t="str">
        <x:v>熔剂加入量、预计渣成分</x:v>
      </x:c>
      <x:c r="H50" s="48" t="str">
        <x:v>否</x:v>
      </x:c>
      <x:c r="I50" s="30" t="str">
        <x:v>DS042企业炉次数据+原料/热化学数据</x:v>
      </x:c>
      <x:c r="J50" s="30" t="str">
        <x:v>Python函数；Pydantic参数校验；单元测试</x:v>
      </x:c>
      <x:c r="K50" s="48" t="str">
        <x:v>DS025,DS042</x:v>
      </x:c>
      <x:c r="L50" s="48" t="str">
        <x:v>P0</x:v>
      </x:c>
      <x:c r="M50" s="48" t="str">
        <x:v>低-中</x:v>
      </x:c>
      <x:c r="N50" s="30" t="str">
        <x:v>解析解/手算样例/边界值单元测试</x:v>
      </x:c>
      <x:c r="O50" s="30" t="str">
        <x:v>必须按转炉、炉龄、原料和钢种标定；预测/优化结果仅作辅助，超出训练分布需人工确认</x:v>
      </x:c>
      <x:c r="P50" s="30" t="str">
        <x:v>calc_bof_flux_addition</x:v>
      </x:c>
    </x:row>
    <x:row r="51" ht="72" customHeight="1">
      <x:c r="A51" s="48" t="str">
        <x:v>D005</x:v>
      </x:c>
      <x:c r="B51" s="48" t="str">
        <x:v>转炉炼钢</x:v>
      </x:c>
      <x:c r="C51" s="30" t="str">
        <x:v>炉渣量估算</x:v>
      </x:c>
      <x:c r="D51" s="30" t="str">
        <x:v>确定性公式/规则</x:v>
      </x:c>
      <x:c r="E51" s="30" t="str">
        <x:v>氧化产物+熔剂+夹带估算</x:v>
      </x:c>
      <x:c r="F51" s="30" t="str">
        <x:v>装料和氧化量</x:v>
      </x:c>
      <x:c r="G51" s="30" t="str">
        <x:v>总渣量、组分</x:v>
      </x:c>
      <x:c r="H51" s="48" t="str">
        <x:v>否</x:v>
      </x:c>
      <x:c r="I51" s="30" t="str">
        <x:v>DS042企业炉次数据+原料/热化学数据</x:v>
      </x:c>
      <x:c r="J51" s="30" t="str">
        <x:v>Python函数；Pydantic参数校验；单元测试</x:v>
      </x:c>
      <x:c r="K51" s="48" t="str">
        <x:v>DS025,DS042</x:v>
      </x:c>
      <x:c r="L51" s="48" t="str">
        <x:v>P1</x:v>
      </x:c>
      <x:c r="M51" s="48" t="str">
        <x:v>低</x:v>
      </x:c>
      <x:c r="N51" s="30" t="str">
        <x:v>解析解/手算样例/边界值单元测试</x:v>
      </x:c>
      <x:c r="O51" s="30" t="str">
        <x:v>必须按转炉、炉龄、原料和钢种标定；预测/优化结果仅作辅助，超出训练分布需人工确认</x:v>
      </x:c>
      <x:c r="P51" s="30" t="str">
        <x:v>estimate_bof_slag_mass</x:v>
      </x:c>
    </x:row>
    <x:row r="52" ht="72" customHeight="1">
      <x:c r="A52" s="48" t="str">
        <x:v>D006</x:v>
      </x:c>
      <x:c r="B52" s="48" t="str">
        <x:v>转炉炼钢</x:v>
      </x:c>
      <x:c r="C52" s="30" t="str">
        <x:v>炉渣碱度计算</x:v>
      </x:c>
      <x:c r="D52" s="30" t="str">
        <x:v>确定性公式/规则</x:v>
      </x:c>
      <x:c r="E52" s="30" t="str">
        <x:v>CaO/SiO2及多元碱度指标</x:v>
      </x:c>
      <x:c r="F52" s="30" t="str">
        <x:v>渣成分、碱度定义</x:v>
      </x:c>
      <x:c r="G52" s="30" t="str">
        <x:v>碱度值、合格判定</x:v>
      </x:c>
      <x:c r="H52" s="48" t="str">
        <x:v>否</x:v>
      </x:c>
      <x:c r="I52" s="30" t="str">
        <x:v>DS042企业炉次数据+原料/热化学数据</x:v>
      </x:c>
      <x:c r="J52" s="30" t="str">
        <x:v>Python函数；Pydantic参数校验；单元测试</x:v>
      </x:c>
      <x:c r="K52" s="48" t="str">
        <x:v>DS025,DS042</x:v>
      </x:c>
      <x:c r="L52" s="48" t="str">
        <x:v>P1</x:v>
      </x:c>
      <x:c r="M52" s="48" t="str">
        <x:v>低</x:v>
      </x:c>
      <x:c r="N52" s="30" t="str">
        <x:v>解析解/手算样例/边界值单元测试</x:v>
      </x:c>
      <x:c r="O52" s="30" t="str">
        <x:v>必须按转炉、炉龄、原料和钢种标定；预测/优化结果仅作辅助，超出训练分布需人工确认</x:v>
      </x:c>
      <x:c r="P52" s="30" t="str">
        <x:v>calc_slag_basicity</x:v>
      </x:c>
    </x:row>
    <x:row r="53" ht="72" customHeight="1">
      <x:c r="A53" s="48" t="str">
        <x:v>D007</x:v>
      </x:c>
      <x:c r="B53" s="48" t="str">
        <x:v>转炉炼钢</x:v>
      </x:c>
      <x:c r="C53" s="30" t="str">
        <x:v>脱碳速率模型</x:v>
      </x:c>
      <x:c r="D53" s="30" t="str">
        <x:v>动力学/混合模型</x:v>
      </x:c>
      <x:c r="E53" s="30" t="str">
        <x:v>分阶段脱碳动力学+氧供给约束</x:v>
      </x:c>
      <x:c r="F53" s="30" t="str">
        <x:v>时间、供氧、枪位、炉气/副枪信号</x:v>
      </x:c>
      <x:c r="G53" s="30" t="str">
        <x:v>脱碳速率、碳轨迹</x:v>
      </x:c>
      <x:c r="H53" s="48" t="str">
        <x:v>可选</x:v>
      </x:c>
      <x:c r="I53" s="30" t="str">
        <x:v>DS042企业炉次数据+原料/热化学数据</x:v>
      </x:c>
      <x:c r="J53" s="30" t="str">
        <x:v>Python函数；Pydantic参数校验；单元测试</x:v>
      </x:c>
      <x:c r="K53" s="48" t="str">
        <x:v>DS025,DS042</x:v>
      </x:c>
      <x:c r="L53" s="48" t="str">
        <x:v>P1</x:v>
      </x:c>
      <x:c r="M53" s="48" t="str">
        <x:v>高</x:v>
      </x:c>
      <x:c r="N53" s="30" t="str">
        <x:v>解析解/手算样例/边界值单元测试</x:v>
      </x:c>
      <x:c r="O53" s="30" t="str">
        <x:v>必须按转炉、炉龄、原料和钢种标定；预测/优化结果仅作辅助，超出训练分布需人工确认</x:v>
      </x:c>
      <x:c r="P53" s="30" t="str">
        <x:v>calc_bof_decarburization_rate</x:v>
      </x:c>
    </x:row>
    <x:row r="54" ht="72" customHeight="1">
      <x:c r="A54" s="48" t="str">
        <x:v>D008</x:v>
      </x:c>
      <x:c r="B54" s="48" t="str">
        <x:v>转炉炼钢</x:v>
      </x:c>
      <x:c r="C54" s="30" t="str">
        <x:v>终点碳预测</x:v>
      </x:c>
      <x:c r="D54" s="30" t="str">
        <x:v>机器学习预测</x:v>
      </x:c>
      <x:c r="E54" s="30" t="str">
        <x:v>GBDT/随机森林/时序特征+守恒约束</x:v>
      </x:c>
      <x:c r="F54" s="30" t="str">
        <x:v>装料、过程供氧/加料、炉气、副枪、历史炉次</x:v>
      </x:c>
      <x:c r="G54" s="30" t="str">
        <x:v>终点预测值、置信区间、特征贡献、是否建议测量</x:v>
      </x:c>
      <x:c r="H54" s="48" t="str">
        <x:v>是</x:v>
      </x:c>
      <x:c r="I54" s="30" t="str">
        <x:v>DS042企业炉次数据+原料/热化学数据</x:v>
      </x:c>
      <x:c r="J54" s="30" t="str">
        <x:v>scikit-learn/LightGBM适配；按时间切分；校准不确定度</x:v>
      </x:c>
      <x:c r="K54" s="48" t="str">
        <x:v>DS041,DS042</x:v>
      </x:c>
      <x:c r="L54" s="48" t="str">
        <x:v>P1</x:v>
      </x:c>
      <x:c r="M54" s="48" t="str">
        <x:v>高</x:v>
      </x:c>
      <x:c r="N54" s="30" t="str">
        <x:v>按时间外推测试+钢种/炉龄分层+与操作员基线比对</x:v>
      </x:c>
      <x:c r="O54" s="30" t="str">
        <x:v>必须按转炉、炉龄、原料和钢种标定；预测/优化结果仅作辅助，超出训练分布需人工确认</x:v>
      </x:c>
      <x:c r="P54" s="30" t="str">
        <x:v>predict_bof_endpoint_carbon</x:v>
      </x:c>
    </x:row>
    <x:row r="55" ht="72" customHeight="1">
      <x:c r="A55" s="48" t="str">
        <x:v>D009</x:v>
      </x:c>
      <x:c r="B55" s="48" t="str">
        <x:v>转炉炼钢</x:v>
      </x:c>
      <x:c r="C55" s="30" t="str">
        <x:v>终点温度预测</x:v>
      </x:c>
      <x:c r="D55" s="30" t="str">
        <x:v>机器学习预测</x:v>
      </x:c>
      <x:c r="E55" s="30" t="str">
        <x:v>GBDT/随机森林/时序特征+守恒约束</x:v>
      </x:c>
      <x:c r="F55" s="30" t="str">
        <x:v>装料、过程供氧/加料、炉气、副枪、历史炉次</x:v>
      </x:c>
      <x:c r="G55" s="30" t="str">
        <x:v>终点预测值、置信区间、特征贡献、是否建议测量</x:v>
      </x:c>
      <x:c r="H55" s="48" t="str">
        <x:v>是</x:v>
      </x:c>
      <x:c r="I55" s="30" t="str">
        <x:v>DS042企业炉次数据+原料/热化学数据</x:v>
      </x:c>
      <x:c r="J55" s="30" t="str">
        <x:v>scikit-learn/LightGBM适配；按时间切分；校准不确定度</x:v>
      </x:c>
      <x:c r="K55" s="48" t="str">
        <x:v>DS041,DS042</x:v>
      </x:c>
      <x:c r="L55" s="48" t="str">
        <x:v>P1</x:v>
      </x:c>
      <x:c r="M55" s="48" t="str">
        <x:v>高</x:v>
      </x:c>
      <x:c r="N55" s="30" t="str">
        <x:v>按时间外推测试+钢种/炉龄分层+与操作员基线比对</x:v>
      </x:c>
      <x:c r="O55" s="30" t="str">
        <x:v>必须按转炉、炉龄、原料和钢种标定；预测/优化结果仅作辅助，超出训练分布需人工确认</x:v>
      </x:c>
      <x:c r="P55" s="30" t="str">
        <x:v>predict_bof_endpoint_temperature</x:v>
      </x:c>
    </x:row>
    <x:row r="56" ht="72" customHeight="1">
      <x:c r="A56" s="48" t="str">
        <x:v>D010</x:v>
      </x:c>
      <x:c r="B56" s="48" t="str">
        <x:v>转炉炼钢</x:v>
      </x:c>
      <x:c r="C56" s="30" t="str">
        <x:v>磷分配比</x:v>
      </x:c>
      <x:c r="D56" s="30" t="str">
        <x:v>确定性公式/规则</x:v>
      </x:c>
      <x:c r="E56" s="30" t="str">
        <x:v>渣-钢磷分配经验/热力学关联</x:v>
      </x:c>
      <x:c r="F56" s="30" t="str">
        <x:v>温度、渣成分、钢中P、氧势</x:v>
      </x:c>
      <x:c r="G56" s="30" t="str">
        <x:v>Lp、预测终点P</x:v>
      </x:c>
      <x:c r="H56" s="48" t="str">
        <x:v>否</x:v>
      </x:c>
      <x:c r="I56" s="30" t="str">
        <x:v>DS042企业炉次数据+原料/热化学数据</x:v>
      </x:c>
      <x:c r="J56" s="30" t="str">
        <x:v>Python函数；Pydantic参数校验；单元测试</x:v>
      </x:c>
      <x:c r="K56" s="48" t="str">
        <x:v>DS025,DS042</x:v>
      </x:c>
      <x:c r="L56" s="48" t="str">
        <x:v>P1</x:v>
      </x:c>
      <x:c r="M56" s="48" t="str">
        <x:v>低</x:v>
      </x:c>
      <x:c r="N56" s="30" t="str">
        <x:v>解析解/手算样例/边界值单元测试</x:v>
      </x:c>
      <x:c r="O56" s="30" t="str">
        <x:v>必须按转炉、炉龄、原料和钢种标定；预测/优化结果仅作辅助，超出训练分布需人工确认</x:v>
      </x:c>
      <x:c r="P56" s="30" t="str">
        <x:v>calc_phosphorus_partition</x:v>
      </x:c>
    </x:row>
    <x:row r="57" ht="72" customHeight="1">
      <x:c r="A57" s="48" t="str">
        <x:v>D011</x:v>
      </x:c>
      <x:c r="B57" s="48" t="str">
        <x:v>转炉炼钢</x:v>
      </x:c>
      <x:c r="C57" s="30" t="str">
        <x:v>硫分配比</x:v>
      </x:c>
      <x:c r="D57" s="30" t="str">
        <x:v>确定性公式/规则</x:v>
      </x:c>
      <x:c r="E57" s="30" t="str">
        <x:v>硫容量/分配比关联</x:v>
      </x:c>
      <x:c r="F57" s="30" t="str">
        <x:v>温度、渣成分、钢中S、氧势</x:v>
      </x:c>
      <x:c r="G57" s="30" t="str">
        <x:v>Ls、预测S</x:v>
      </x:c>
      <x:c r="H57" s="48" t="str">
        <x:v>否</x:v>
      </x:c>
      <x:c r="I57" s="30" t="str">
        <x:v>DS042企业炉次数据+原料/热化学数据</x:v>
      </x:c>
      <x:c r="J57" s="30" t="str">
        <x:v>Python函数；Pydantic参数校验；单元测试</x:v>
      </x:c>
      <x:c r="K57" s="48" t="str">
        <x:v>DS025,DS042</x:v>
      </x:c>
      <x:c r="L57" s="48" t="str">
        <x:v>P1</x:v>
      </x:c>
      <x:c r="M57" s="48" t="str">
        <x:v>低</x:v>
      </x:c>
      <x:c r="N57" s="30" t="str">
        <x:v>解析解/手算样例/边界值单元测试</x:v>
      </x:c>
      <x:c r="O57" s="30" t="str">
        <x:v>必须按转炉、炉龄、原料和钢种标定；预测/优化结果仅作辅助，超出训练分布需人工确认</x:v>
      </x:c>
      <x:c r="P57" s="30" t="str">
        <x:v>calc_sulfur_partition</x:v>
      </x:c>
    </x:row>
    <x:row r="58" ht="72" customHeight="1">
      <x:c r="A58" s="48" t="str">
        <x:v>D012</x:v>
      </x:c>
      <x:c r="B58" s="48" t="str">
        <x:v>转炉炼钢</x:v>
      </x:c>
      <x:c r="C58" s="30" t="str">
        <x:v>锰氧化平衡</x:v>
      </x:c>
      <x:c r="D58" s="30" t="str">
        <x:v>确定性公式/规则</x:v>
      </x:c>
      <x:c r="E58" s="30" t="str">
        <x:v>氧化平衡+活度修正</x:v>
      </x:c>
      <x:c r="F58" s="30" t="str">
        <x:v>温度、渣钢组成、氧势</x:v>
      </x:c>
      <x:c r="G58" s="30" t="str">
        <x:v>平衡残余量、氧化量</x:v>
      </x:c>
      <x:c r="H58" s="48" t="str">
        <x:v>否</x:v>
      </x:c>
      <x:c r="I58" s="30" t="str">
        <x:v>DS042企业炉次数据+原料/热化学数据</x:v>
      </x:c>
      <x:c r="J58" s="30" t="str">
        <x:v>Python函数；Pydantic参数校验；单元测试</x:v>
      </x:c>
      <x:c r="K58" s="48" t="str">
        <x:v>DS025,DS042</x:v>
      </x:c>
      <x:c r="L58" s="48" t="str">
        <x:v>P1</x:v>
      </x:c>
      <x:c r="M58" s="48" t="str">
        <x:v>低</x:v>
      </x:c>
      <x:c r="N58" s="30" t="str">
        <x:v>解析解/手算样例/边界值单元测试</x:v>
      </x:c>
      <x:c r="O58" s="30" t="str">
        <x:v>必须按转炉、炉龄、原料和钢种标定；预测/优化结果仅作辅助，超出训练分布需人工确认</x:v>
      </x:c>
      <x:c r="P58" s="30" t="str">
        <x:v>calc_manganese_oxidation</x:v>
      </x:c>
    </x:row>
    <x:row r="59" ht="72" customHeight="1">
      <x:c r="A59" s="48" t="str">
        <x:v>D013</x:v>
      </x:c>
      <x:c r="B59" s="48" t="str">
        <x:v>转炉炼钢</x:v>
      </x:c>
      <x:c r="C59" s="30" t="str">
        <x:v>硅氧化平衡</x:v>
      </x:c>
      <x:c r="D59" s="30" t="str">
        <x:v>确定性公式/规则</x:v>
      </x:c>
      <x:c r="E59" s="30" t="str">
        <x:v>氧化平衡+活度修正</x:v>
      </x:c>
      <x:c r="F59" s="30" t="str">
        <x:v>温度、渣钢组成、氧势</x:v>
      </x:c>
      <x:c r="G59" s="30" t="str">
        <x:v>平衡残余量、氧化量</x:v>
      </x:c>
      <x:c r="H59" s="48" t="str">
        <x:v>否</x:v>
      </x:c>
      <x:c r="I59" s="30" t="str">
        <x:v>DS042企业炉次数据+原料/热化学数据</x:v>
      </x:c>
      <x:c r="J59" s="30" t="str">
        <x:v>Python函数；Pydantic参数校验；单元测试</x:v>
      </x:c>
      <x:c r="K59" s="48" t="str">
        <x:v>DS025,DS042</x:v>
      </x:c>
      <x:c r="L59" s="48" t="str">
        <x:v>P1</x:v>
      </x:c>
      <x:c r="M59" s="48" t="str">
        <x:v>低</x:v>
      </x:c>
      <x:c r="N59" s="30" t="str">
        <x:v>解析解/手算样例/边界值单元测试</x:v>
      </x:c>
      <x:c r="O59" s="30" t="str">
        <x:v>必须按转炉、炉龄、原料和钢种标定；预测/优化结果仅作辅助，超出训练分布需人工确认</x:v>
      </x:c>
      <x:c r="P59" s="30" t="str">
        <x:v>calc_silicon_oxidation</x:v>
      </x:c>
    </x:row>
    <x:row r="60" ht="72" customHeight="1">
      <x:c r="A60" s="48" t="str">
        <x:v>D014</x:v>
      </x:c>
      <x:c r="B60" s="48" t="str">
        <x:v>转炉炼钢</x:v>
      </x:c>
      <x:c r="C60" s="30" t="str">
        <x:v>TFe与铁损估算</x:v>
      </x:c>
      <x:c r="D60" s="30" t="str">
        <x:v>确定性公式/规则</x:v>
      </x:c>
      <x:c r="E60" s="30" t="str">
        <x:v>铁氧化物平衡+渣铁收支</x:v>
      </x:c>
      <x:c r="F60" s="30" t="str">
        <x:v>渣量、渣成分、钢水收得率</x:v>
      </x:c>
      <x:c r="G60" s="30" t="str">
        <x:v>TFe、铁损、经济损失</x:v>
      </x:c>
      <x:c r="H60" s="48" t="str">
        <x:v>否</x:v>
      </x:c>
      <x:c r="I60" s="30" t="str">
        <x:v>DS042企业炉次数据+原料/热化学数据</x:v>
      </x:c>
      <x:c r="J60" s="30" t="str">
        <x:v>Python函数；Pydantic参数校验；单元测试</x:v>
      </x:c>
      <x:c r="K60" s="48" t="str">
        <x:v>DS025,DS042</x:v>
      </x:c>
      <x:c r="L60" s="48" t="str">
        <x:v>P1</x:v>
      </x:c>
      <x:c r="M60" s="48" t="str">
        <x:v>低</x:v>
      </x:c>
      <x:c r="N60" s="30" t="str">
        <x:v>解析解/手算样例/边界值单元测试</x:v>
      </x:c>
      <x:c r="O60" s="30" t="str">
        <x:v>必须按转炉、炉龄、原料和钢种标定；预测/优化结果仅作辅助，超出训练分布需人工确认</x:v>
      </x:c>
      <x:c r="P60" s="30" t="str">
        <x:v>estimate_tfe_and_iron_loss</x:v>
      </x:c>
    </x:row>
    <x:row r="61" ht="72" customHeight="1">
      <x:c r="A61" s="48" t="str">
        <x:v>D015</x:v>
      </x:c>
      <x:c r="B61" s="48" t="str">
        <x:v>转炉炼钢</x:v>
      </x:c>
      <x:c r="C61" s="30" t="str">
        <x:v>炉气生成量</x:v>
      </x:c>
      <x:c r="D61" s="30" t="str">
        <x:v>确定性公式/规则</x:v>
      </x:c>
      <x:c r="E61" s="30" t="str">
        <x:v>CO/CO2生成化学计量与状态方程</x:v>
      </x:c>
      <x:c r="F61" s="30" t="str">
        <x:v>脱碳量、后燃比、温压</x:v>
      </x:c>
      <x:c r="G61" s="30" t="str">
        <x:v>炉气体积、组成、流量曲线</x:v>
      </x:c>
      <x:c r="H61" s="48" t="str">
        <x:v>否</x:v>
      </x:c>
      <x:c r="I61" s="30" t="str">
        <x:v>DS042企业炉次数据+原料/热化学数据</x:v>
      </x:c>
      <x:c r="J61" s="30" t="str">
        <x:v>Python函数；Pydantic参数校验；单元测试</x:v>
      </x:c>
      <x:c r="K61" s="48" t="str">
        <x:v>DS025,DS042</x:v>
      </x:c>
      <x:c r="L61" s="48" t="str">
        <x:v>P2</x:v>
      </x:c>
      <x:c r="M61" s="48" t="str">
        <x:v>低</x:v>
      </x:c>
      <x:c r="N61" s="30" t="str">
        <x:v>解析解/手算样例/边界值单元测试</x:v>
      </x:c>
      <x:c r="O61" s="30" t="str">
        <x:v>必须按转炉、炉龄、原料和钢种标定；预测/优化结果仅作辅助，超出训练分布需人工确认</x:v>
      </x:c>
      <x:c r="P61" s="30" t="str">
        <x:v>calc_bof_offgas_volume</x:v>
      </x:c>
    </x:row>
    <x:row r="62" ht="72" customHeight="1">
      <x:c r="A62" s="48" t="str">
        <x:v>D016</x:v>
      </x:c>
      <x:c r="B62" s="48" t="str">
        <x:v>转炉炼钢</x:v>
      </x:c>
      <x:c r="C62" s="30" t="str">
        <x:v>氧利用率计算</x:v>
      </x:c>
      <x:c r="D62" s="30" t="str">
        <x:v>确定性公式/规则</x:v>
      </x:c>
      <x:c r="E62" s="30" t="str">
        <x:v>理论耗氧与实际供氧比</x:v>
      </x:c>
      <x:c r="F62" s="30" t="str">
        <x:v>实际氧量、氧化产物、炉气</x:v>
      </x:c>
      <x:c r="G62" s="30" t="str">
        <x:v>氧利用率、分项损失</x:v>
      </x:c>
      <x:c r="H62" s="48" t="str">
        <x:v>否</x:v>
      </x:c>
      <x:c r="I62" s="30" t="str">
        <x:v>DS042企业炉次数据+原料/热化学数据</x:v>
      </x:c>
      <x:c r="J62" s="30" t="str">
        <x:v>Python函数；Pydantic参数校验；单元测试</x:v>
      </x:c>
      <x:c r="K62" s="48" t="str">
        <x:v>DS025,DS042</x:v>
      </x:c>
      <x:c r="L62" s="48" t="str">
        <x:v>P2</x:v>
      </x:c>
      <x:c r="M62" s="48" t="str">
        <x:v>低</x:v>
      </x:c>
      <x:c r="N62" s="30" t="str">
        <x:v>解析解/手算样例/边界值单元测试</x:v>
      </x:c>
      <x:c r="O62" s="30" t="str">
        <x:v>必须按转炉、炉龄、原料和钢种标定；预测/优化结果仅作辅助，超出训练分布需人工确认</x:v>
      </x:c>
      <x:c r="P62" s="30" t="str">
        <x:v>calc_oxygen_utilization</x:v>
      </x:c>
    </x:row>
    <x:row r="63" ht="72" customHeight="1">
      <x:c r="A63" s="48" t="str">
        <x:v>D017</x:v>
      </x:c>
      <x:c r="B63" s="48" t="str">
        <x:v>转炉炼钢</x:v>
      </x:c>
      <x:c r="C63" s="30" t="str">
        <x:v>氧枪枪位推荐</x:v>
      </x:c>
      <x:c r="D63" s="30" t="str">
        <x:v>推荐模型</x:v>
      </x:c>
      <x:c r="E63" s="30" t="str">
        <x:v>规则库+历史最优炉次相似检索</x:v>
      </x:c>
      <x:c r="F63" s="30" t="str">
        <x:v>炉龄、熔池、供氧阶段、炉气/喷溅信号</x:v>
      </x:c>
      <x:c r="G63" s="30" t="str">
        <x:v>枪位区间、理由、风险</x:v>
      </x:c>
      <x:c r="H63" s="48" t="str">
        <x:v>可选</x:v>
      </x:c>
      <x:c r="I63" s="30" t="str">
        <x:v>DS042企业炉次数据+原料/热化学数据</x:v>
      </x:c>
      <x:c r="J63" s="30" t="str">
        <x:v>Python函数；Pydantic参数校验；单元测试</x:v>
      </x:c>
      <x:c r="K63" s="48" t="str">
        <x:v>DS025,DS042</x:v>
      </x:c>
      <x:c r="L63" s="48" t="str">
        <x:v>P2</x:v>
      </x:c>
      <x:c r="M63" s="48" t="str">
        <x:v>高</x:v>
      </x:c>
      <x:c r="N63" s="30" t="str">
        <x:v>解析解/手算样例/边界值单元测试</x:v>
      </x:c>
      <x:c r="O63" s="30" t="str">
        <x:v>必须按转炉、炉龄、原料和钢种标定；预测/优化结果仅作辅助，超出训练分布需人工确认</x:v>
      </x:c>
      <x:c r="P63" s="30" t="str">
        <x:v>recommend_lance_height</x:v>
      </x:c>
    </x:row>
    <x:row r="64" ht="72" customHeight="1">
      <x:c r="A64" s="48" t="str">
        <x:v>D018</x:v>
      </x:c>
      <x:c r="B64" s="48" t="str">
        <x:v>转炉炼钢</x:v>
      </x:c>
      <x:c r="C64" s="30" t="str">
        <x:v>吹氧制度优化</x:v>
      </x:c>
      <x:c r="D64" s="30" t="str">
        <x:v>约束优化</x:v>
      </x:c>
      <x:c r="E64" s="30" t="str">
        <x:v>分段供氧/枪位非线性或动态优化</x:v>
      </x:c>
      <x:c r="F64" s="30" t="str">
        <x:v>目标C/T/P、装料、设备约束</x:v>
      </x:c>
      <x:c r="G64" s="30" t="str">
        <x:v>供氧曲线、枪位曲线、预计指标</x:v>
      </x:c>
      <x:c r="H64" s="48" t="str">
        <x:v>否</x:v>
      </x:c>
      <x:c r="I64" s="30" t="str">
        <x:v>DS042企业炉次数据+原料/热化学数据</x:v>
      </x:c>
      <x:c r="J64" s="30" t="str">
        <x:v>Python函数；Pydantic参数校验；单元测试</x:v>
      </x:c>
      <x:c r="K64" s="48" t="str">
        <x:v>DS025,DS042</x:v>
      </x:c>
      <x:c r="L64" s="48" t="str">
        <x:v>P2</x:v>
      </x:c>
      <x:c r="M64" s="48" t="str">
        <x:v>高</x:v>
      </x:c>
      <x:c r="N64" s="30" t="str">
        <x:v>解析解/手算样例/边界值单元测试</x:v>
      </x:c>
      <x:c r="O64" s="30" t="str">
        <x:v>必须按转炉、炉龄、原料和钢种标定；预测/优化结果仅作辅助，超出训练分布需人工确认</x:v>
      </x:c>
      <x:c r="P64" s="30" t="str">
        <x:v>optimize_blowing_schedule</x:v>
      </x:c>
    </x:row>
    <x:row r="65" ht="72" customHeight="1">
      <x:c r="A65" s="48" t="str">
        <x:v>D019</x:v>
      </x:c>
      <x:c r="B65" s="48" t="str">
        <x:v>转炉炼钢</x:v>
      </x:c>
      <x:c r="C65" s="30" t="str">
        <x:v>合金加入优化</x:v>
      </x:c>
      <x:c r="D65" s="30" t="str">
        <x:v>约束优化</x:v>
      </x:c>
      <x:c r="E65" s="30" t="str">
        <x:v>线性/混合整数最小成本配料</x:v>
      </x:c>
      <x:c r="F65" s="30" t="str">
        <x:v>钢水成分、目标规格、合金成分/价格/收得率</x:v>
      </x:c>
      <x:c r="G65" s="30" t="str">
        <x:v>合金加入方案、成本、约束余量</x:v>
      </x:c>
      <x:c r="H65" s="48" t="str">
        <x:v>否</x:v>
      </x:c>
      <x:c r="I65" s="30" t="str">
        <x:v>DS042企业炉次数据+原料/热化学数据</x:v>
      </x:c>
      <x:c r="J65" s="30" t="str">
        <x:v>Python函数；Pydantic参数校验；单元测试</x:v>
      </x:c>
      <x:c r="K65" s="48" t="str">
        <x:v>DS038,DS042</x:v>
      </x:c>
      <x:c r="L65" s="48" t="str">
        <x:v>P2</x:v>
      </x:c>
      <x:c r="M65" s="48" t="str">
        <x:v>高</x:v>
      </x:c>
      <x:c r="N65" s="30" t="str">
        <x:v>解析解/手算样例/边界值单元测试</x:v>
      </x:c>
      <x:c r="O65" s="30" t="str">
        <x:v>必须按转炉、炉龄、原料和钢种标定；预测/优化结果仅作辅助，超出训练分布需人工确认</x:v>
      </x:c>
      <x:c r="P65" s="30" t="str">
        <x:v>optimize_alloy_additions</x:v>
      </x:c>
    </x:row>
    <x:row r="66" ht="72" customHeight="1">
      <x:c r="A66" s="48" t="str">
        <x:v>D020</x:v>
      </x:c>
      <x:c r="B66" s="48" t="str">
        <x:v>转炉炼钢</x:v>
      </x:c>
      <x:c r="C66" s="30" t="str">
        <x:v>冷却剂/废钢加入优化</x:v>
      </x:c>
      <x:c r="D66" s="30" t="str">
        <x:v>约束优化</x:v>
      </x:c>
      <x:c r="E66" s="30" t="str">
        <x:v>热平衡约束下最小成本/最小波动优化</x:v>
      </x:c>
      <x:c r="F66" s="30" t="str">
        <x:v>热状态、废钢/矿石/冷却剂属性</x:v>
      </x:c>
      <x:c r="G66" s="30" t="str">
        <x:v>加入量、终温区间、成本</x:v>
      </x:c>
      <x:c r="H66" s="48" t="str">
        <x:v>否</x:v>
      </x:c>
      <x:c r="I66" s="30" t="str">
        <x:v>DS042企业炉次数据+原料/热化学数据</x:v>
      </x:c>
      <x:c r="J66" s="30" t="str">
        <x:v>Python函数；Pydantic参数校验；单元测试</x:v>
      </x:c>
      <x:c r="K66" s="48" t="str">
        <x:v>DS038,DS042</x:v>
      </x:c>
      <x:c r="L66" s="48" t="str">
        <x:v>P2</x:v>
      </x:c>
      <x:c r="M66" s="48" t="str">
        <x:v>高</x:v>
      </x:c>
      <x:c r="N66" s="30" t="str">
        <x:v>解析解/手算样例/边界值单元测试</x:v>
      </x:c>
      <x:c r="O66" s="30" t="str">
        <x:v>必须按转炉、炉龄、原料和钢种标定；预测/优化结果仅作辅助，超出训练分布需人工确认</x:v>
      </x:c>
      <x:c r="P66" s="30" t="str">
        <x:v>optimize_coolant_scrap_addition</x:v>
      </x:c>
    </x:row>
    <x:row r="67" ht="72" customHeight="1">
      <x:c r="A67" s="48" t="str">
        <x:v>E001</x:v>
      </x:c>
      <x:c r="B67" s="48" t="str">
        <x:v>高炉低碳</x:v>
      </x:c>
      <x:c r="C67" s="30" t="str">
        <x:v>高炉炉料物料平衡</x:v>
      </x:c>
      <x:c r="D67" s="30" t="str">
        <x:v>确定性公式/规则</x:v>
      </x:c>
      <x:c r="E67" s="30" t="str">
        <x:v>矿、焦、煤、熔剂、热风、产品/炉渣/煤气总物料平衡</x:v>
      </x:c>
      <x:c r="F67" s="30" t="str">
        <x:v>炉料、产量、成分、煤气</x:v>
      </x:c>
      <x:c r="G67" s="30" t="str">
        <x:v>物流量、收率、闭合率</x:v>
      </x:c>
      <x:c r="H67" s="48" t="str">
        <x:v>否</x:v>
      </x:c>
      <x:c r="I67" s="30" t="str">
        <x:v>DS042高炉日/月数据+原料分析+能源/排放因子</x:v>
      </x:c>
      <x:c r="J67" s="30" t="str">
        <x:v>Python函数；Pydantic参数校验；单元测试</x:v>
      </x:c>
      <x:c r="K67" s="48" t="str">
        <x:v>DS025,DS026,DS027,DS042</x:v>
      </x:c>
      <x:c r="L67" s="48" t="str">
        <x:v>P0</x:v>
      </x:c>
      <x:c r="M67" s="48" t="str">
        <x:v>低-中</x:v>
      </x:c>
      <x:c r="N67" s="30" t="str">
        <x:v>解析解/手算样例/边界值单元测试</x:v>
      </x:c>
      <x:c r="O67" s="30" t="str">
        <x:v>高炉具有强时滞和炉况差异；模型必须绑定高炉、炉料制度、统计周期与碳核算边界</x:v>
      </x:c>
      <x:c r="P67" s="30" t="str">
        <x:v>balance_bf_burden</x:v>
      </x:c>
    </x:row>
    <x:row r="68" ht="72" customHeight="1">
      <x:c r="A68" s="48" t="str">
        <x:v>E002</x:v>
      </x:c>
      <x:c r="B68" s="48" t="str">
        <x:v>高炉低碳</x:v>
      </x:c>
      <x:c r="C68" s="30" t="str">
        <x:v>铁元素平衡与还原度</x:v>
      </x:c>
      <x:c r="D68" s="30" t="str">
        <x:v>确定性公式/规则</x:v>
      </x:c>
      <x:c r="E68" s="30" t="str">
        <x:v>铁收支与直接/间接还原分解</x:v>
      </x:c>
      <x:c r="F68" s="30" t="str">
        <x:v>炉料铁量、铁水/渣/尘</x:v>
      </x:c>
      <x:c r="G68" s="30" t="str">
        <x:v>铁收得率、还原度、损失</x:v>
      </x:c>
      <x:c r="H68" s="48" t="str">
        <x:v>否</x:v>
      </x:c>
      <x:c r="I68" s="30" t="str">
        <x:v>DS042高炉日/月数据+原料分析+能源/排放因子</x:v>
      </x:c>
      <x:c r="J68" s="30" t="str">
        <x:v>Python函数；Pydantic参数校验；单元测试</x:v>
      </x:c>
      <x:c r="K68" s="48" t="str">
        <x:v>DS025,DS026,DS027,DS042</x:v>
      </x:c>
      <x:c r="L68" s="48" t="str">
        <x:v>P0</x:v>
      </x:c>
      <x:c r="M68" s="48" t="str">
        <x:v>低-中</x:v>
      </x:c>
      <x:c r="N68" s="30" t="str">
        <x:v>解析解/手算样例/边界值单元测试</x:v>
      </x:c>
      <x:c r="O68" s="30" t="str">
        <x:v>高炉具有强时滞和炉况差异；模型必须绑定高炉、炉料制度、统计周期与碳核算边界</x:v>
      </x:c>
      <x:c r="P68" s="30" t="str">
        <x:v>calc_bf_iron_balance</x:v>
      </x:c>
    </x:row>
    <x:row r="69" ht="72" customHeight="1">
      <x:c r="A69" s="48" t="str">
        <x:v>E003</x:v>
      </x:c>
      <x:c r="B69" s="48" t="str">
        <x:v>高炉低碳</x:v>
      </x:c>
      <x:c r="C69" s="30" t="str">
        <x:v>高炉碳平衡</x:v>
      </x:c>
      <x:c r="D69" s="30" t="str">
        <x:v>确定性公式/规则</x:v>
      </x:c>
      <x:c r="E69" s="30" t="str">
        <x:v>焦炭/煤/COG等碳输入输出平衡</x:v>
      </x:c>
      <x:c r="F69" s="30" t="str">
        <x:v>燃料、铁水C、顶煤气、粉尘</x:v>
      </x:c>
      <x:c r="G69" s="30" t="str">
        <x:v>碳去向、闭合率、单位碳耗</x:v>
      </x:c>
      <x:c r="H69" s="48" t="str">
        <x:v>否</x:v>
      </x:c>
      <x:c r="I69" s="30" t="str">
        <x:v>DS042高炉日/月数据+原料分析+能源/排放因子</x:v>
      </x:c>
      <x:c r="J69" s="30" t="str">
        <x:v>Python函数；Pydantic参数校验；单元测试</x:v>
      </x:c>
      <x:c r="K69" s="48" t="str">
        <x:v>DS025,DS026,DS027,DS042</x:v>
      </x:c>
      <x:c r="L69" s="48" t="str">
        <x:v>P0</x:v>
      </x:c>
      <x:c r="M69" s="48" t="str">
        <x:v>低-中</x:v>
      </x:c>
      <x:c r="N69" s="30" t="str">
        <x:v>解析解/手算样例/边界值单元测试</x:v>
      </x:c>
      <x:c r="O69" s="30" t="str">
        <x:v>高炉具有强时滞和炉况差异；模型必须绑定高炉、炉料制度、统计周期与碳核算边界</x:v>
      </x:c>
      <x:c r="P69" s="30" t="str">
        <x:v>calc_bf_carbon_balance</x:v>
      </x:c>
    </x:row>
    <x:row r="70" ht="72" customHeight="1">
      <x:c r="A70" s="48" t="str">
        <x:v>E004</x:v>
      </x:c>
      <x:c r="B70" s="48" t="str">
        <x:v>高炉低碳</x:v>
      </x:c>
      <x:c r="C70" s="30" t="str">
        <x:v>高炉氧平衡</x:v>
      </x:c>
      <x:c r="D70" s="30" t="str">
        <x:v>确定性公式/规则</x:v>
      </x:c>
      <x:c r="E70" s="30" t="str">
        <x:v>鼓风/富氧/炉料氧输入输出平衡</x:v>
      </x:c>
      <x:c r="F70" s="30" t="str">
        <x:v>风量、富氧、炉料、煤气</x:v>
      </x:c>
      <x:c r="G70" s="30" t="str">
        <x:v>氧收支、间接还原指标</x:v>
      </x:c>
      <x:c r="H70" s="48" t="str">
        <x:v>否</x:v>
      </x:c>
      <x:c r="I70" s="30" t="str">
        <x:v>DS042高炉日/月数据+原料分析+能源/排放因子</x:v>
      </x:c>
      <x:c r="J70" s="30" t="str">
        <x:v>Python函数；Pydantic参数校验；单元测试</x:v>
      </x:c>
      <x:c r="K70" s="48" t="str">
        <x:v>DS025,DS026,DS027,DS042</x:v>
      </x:c>
      <x:c r="L70" s="48" t="str">
        <x:v>P0</x:v>
      </x:c>
      <x:c r="M70" s="48" t="str">
        <x:v>低-中</x:v>
      </x:c>
      <x:c r="N70" s="30" t="str">
        <x:v>解析解/手算样例/边界值单元测试</x:v>
      </x:c>
      <x:c r="O70" s="30" t="str">
        <x:v>高炉具有强时滞和炉况差异；模型必须绑定高炉、炉料制度、统计周期与碳核算边界</x:v>
      </x:c>
      <x:c r="P70" s="30" t="str">
        <x:v>calc_bf_oxygen_balance</x:v>
      </x:c>
    </x:row>
    <x:row r="71" ht="72" customHeight="1">
      <x:c r="A71" s="48" t="str">
        <x:v>E005</x:v>
      </x:c>
      <x:c r="B71" s="48" t="str">
        <x:v>高炉低碳</x:v>
      </x:c>
      <x:c r="C71" s="30" t="str">
        <x:v>高炉氢平衡</x:v>
      </x:c>
      <x:c r="D71" s="30" t="str">
        <x:v>确定性公式/规则</x:v>
      </x:c>
      <x:c r="E71" s="30" t="str">
        <x:v>喷吹气/湿分/还原生成水的氢平衡</x:v>
      </x:c>
      <x:c r="F71" s="30" t="str">
        <x:v>氢源、顶煤气H2/H2O</x:v>
      </x:c>
      <x:c r="G71" s="30" t="str">
        <x:v>氢利用率、氢收支</x:v>
      </x:c>
      <x:c r="H71" s="48" t="str">
        <x:v>否</x:v>
      </x:c>
      <x:c r="I71" s="30" t="str">
        <x:v>DS042高炉日/月数据+原料分析+能源/排放因子</x:v>
      </x:c>
      <x:c r="J71" s="30" t="str">
        <x:v>Python函数；Pydantic参数校验；单元测试</x:v>
      </x:c>
      <x:c r="K71" s="48" t="str">
        <x:v>DS025,DS026,DS027,DS042</x:v>
      </x:c>
      <x:c r="L71" s="48" t="str">
        <x:v>P1</x:v>
      </x:c>
      <x:c r="M71" s="48" t="str">
        <x:v>低</x:v>
      </x:c>
      <x:c r="N71" s="30" t="str">
        <x:v>解析解/手算样例/边界值单元测试</x:v>
      </x:c>
      <x:c r="O71" s="30" t="str">
        <x:v>高炉具有强时滞和炉况差异；模型必须绑定高炉、炉料制度、统计周期与碳核算边界</x:v>
      </x:c>
      <x:c r="P71" s="30" t="str">
        <x:v>calc_bf_hydrogen_balance</x:v>
      </x:c>
    </x:row>
    <x:row r="72" ht="72" customHeight="1">
      <x:c r="A72" s="48" t="str">
        <x:v>E006</x:v>
      </x:c>
      <x:c r="B72" s="48" t="str">
        <x:v>高炉低碳</x:v>
      </x:c>
      <x:c r="C72" s="30" t="str">
        <x:v>Rist操作线</x:v>
      </x:c>
      <x:c r="D72" s="30" t="str">
        <x:v>确定性公式/规则</x:v>
      </x:c>
      <x:c r="E72" s="30" t="str">
        <x:v>Rist操作线与还原平衡</x:v>
      </x:c>
      <x:c r="F72" s="30" t="str">
        <x:v>炉料、顶煤气、燃料比、还原度</x:v>
      </x:c>
      <x:c r="G72" s="30" t="str">
        <x:v>操作线、理想点、直接还原度</x:v>
      </x:c>
      <x:c r="H72" s="48" t="str">
        <x:v>否</x:v>
      </x:c>
      <x:c r="I72" s="30" t="str">
        <x:v>DS042高炉日/月数据+原料分析+能源/排放因子</x:v>
      </x:c>
      <x:c r="J72" s="30" t="str">
        <x:v>Python函数；Pydantic参数校验；单元测试</x:v>
      </x:c>
      <x:c r="K72" s="48" t="str">
        <x:v>DS025,DS026,DS027,DS042</x:v>
      </x:c>
      <x:c r="L72" s="48" t="str">
        <x:v>P1</x:v>
      </x:c>
      <x:c r="M72" s="48" t="str">
        <x:v>中</x:v>
      </x:c>
      <x:c r="N72" s="30" t="str">
        <x:v>解析解/手算样例/边界值单元测试</x:v>
      </x:c>
      <x:c r="O72" s="30" t="str">
        <x:v>高炉具有强时滞和炉况差异；模型必须绑定高炉、炉料制度、统计周期与碳核算边界</x:v>
      </x:c>
      <x:c r="P72" s="30" t="str">
        <x:v>calc_rist_operating_line</x:v>
      </x:c>
    </x:row>
    <x:row r="73" ht="72" customHeight="1">
      <x:c r="A73" s="48" t="str">
        <x:v>E007</x:v>
      </x:c>
      <x:c r="B73" s="48" t="str">
        <x:v>高炉低碳</x:v>
      </x:c>
      <x:c r="C73" s="30" t="str">
        <x:v>高炉热平衡</x:v>
      </x:c>
      <x:c r="D73" s="30" t="str">
        <x:v>确定性公式/规则</x:v>
      </x:c>
      <x:c r="E73" s="30" t="str">
        <x:v>高低温区热收支</x:v>
      </x:c>
      <x:c r="F73" s="30" t="str">
        <x:v>风温、燃料、炉料、产物温度、热损</x:v>
      </x:c>
      <x:c r="G73" s="30" t="str">
        <x:v>热需求、热收入、热效率</x:v>
      </x:c>
      <x:c r="H73" s="48" t="str">
        <x:v>否</x:v>
      </x:c>
      <x:c r="I73" s="30" t="str">
        <x:v>DS042高炉日/月数据+原料分析+能源/排放因子</x:v>
      </x:c>
      <x:c r="J73" s="30" t="str">
        <x:v>Python函数；Pydantic参数校验；单元测试</x:v>
      </x:c>
      <x:c r="K73" s="48" t="str">
        <x:v>DS025,DS026,DS027,DS042</x:v>
      </x:c>
      <x:c r="L73" s="48" t="str">
        <x:v>P1</x:v>
      </x:c>
      <x:c r="M73" s="48" t="str">
        <x:v>低</x:v>
      </x:c>
      <x:c r="N73" s="30" t="str">
        <x:v>解析解/手算样例/边界值单元测试</x:v>
      </x:c>
      <x:c r="O73" s="30" t="str">
        <x:v>高炉具有强时滞和炉况差异；模型必须绑定高炉、炉料制度、统计周期与碳核算边界</x:v>
      </x:c>
      <x:c r="P73" s="30" t="str">
        <x:v>calc_bf_heat_balance</x:v>
      </x:c>
    </x:row>
    <x:row r="74" ht="72" customHeight="1">
      <x:c r="A74" s="48" t="str">
        <x:v>E008</x:v>
      </x:c>
      <x:c r="B74" s="48" t="str">
        <x:v>高炉低碳</x:v>
      </x:c>
      <x:c r="C74" s="30" t="str">
        <x:v>焦比估算</x:v>
      </x:c>
      <x:c r="D74" s="30" t="str">
        <x:v>经验/混合模型</x:v>
      </x:c>
      <x:c r="E74" s="30" t="str">
        <x:v>物料热平衡+回归校正</x:v>
      </x:c>
      <x:c r="F74" s="30" t="str">
        <x:v>炉况、风温、喷煤、炉料、目标产量</x:v>
      </x:c>
      <x:c r="G74" s="30" t="str">
        <x:v>焦比、区间、影响因素</x:v>
      </x:c>
      <x:c r="H74" s="48" t="str">
        <x:v>可选</x:v>
      </x:c>
      <x:c r="I74" s="30" t="str">
        <x:v>DS042高炉日/月数据+原料分析+能源/排放因子</x:v>
      </x:c>
      <x:c r="J74" s="30" t="str">
        <x:v>Python函数；Pydantic参数校验；单元测试</x:v>
      </x:c>
      <x:c r="K74" s="48" t="str">
        <x:v>DS025,DS026,DS027,DS042</x:v>
      </x:c>
      <x:c r="L74" s="48" t="str">
        <x:v>P1</x:v>
      </x:c>
      <x:c r="M74" s="48" t="str">
        <x:v>低</x:v>
      </x:c>
      <x:c r="N74" s="30" t="str">
        <x:v>解析解/手算样例/边界值单元测试</x:v>
      </x:c>
      <x:c r="O74" s="30" t="str">
        <x:v>高炉具有强时滞和炉况差异；模型必须绑定高炉、炉料制度、统计周期与碳核算边界</x:v>
      </x:c>
      <x:c r="P74" s="30" t="str">
        <x:v>estimate_coke_rate</x:v>
      </x:c>
    </x:row>
    <x:row r="75" ht="72" customHeight="1">
      <x:c r="A75" s="48" t="str">
        <x:v>E009</x:v>
      </x:c>
      <x:c r="B75" s="48" t="str">
        <x:v>高炉低碳</x:v>
      </x:c>
      <x:c r="C75" s="30" t="str">
        <x:v>喷煤等效替代</x:v>
      </x:c>
      <x:c r="D75" s="30" t="str">
        <x:v>确定性公式/规则</x:v>
      </x:c>
      <x:c r="E75" s="30" t="str">
        <x:v>固定碳/热值/置换比经验模型</x:v>
      </x:c>
      <x:c r="F75" s="30" t="str">
        <x:v>煤/焦性质、喷煤量、炉况</x:v>
      </x:c>
      <x:c r="G75" s="30" t="str">
        <x:v>等效焦炭替代量、边际收益</x:v>
      </x:c>
      <x:c r="H75" s="48" t="str">
        <x:v>否</x:v>
      </x:c>
      <x:c r="I75" s="30" t="str">
        <x:v>DS042高炉日/月数据+原料分析+能源/排放因子</x:v>
      </x:c>
      <x:c r="J75" s="30" t="str">
        <x:v>Python函数；Pydantic参数校验；单元测试</x:v>
      </x:c>
      <x:c r="K75" s="48" t="str">
        <x:v>DS025,DS026,DS027,DS042</x:v>
      </x:c>
      <x:c r="L75" s="48" t="str">
        <x:v>P1</x:v>
      </x:c>
      <x:c r="M75" s="48" t="str">
        <x:v>低</x:v>
      </x:c>
      <x:c r="N75" s="30" t="str">
        <x:v>解析解/手算样例/边界值单元测试</x:v>
      </x:c>
      <x:c r="O75" s="30" t="str">
        <x:v>高炉具有强时滞和炉况差异；模型必须绑定高炉、炉料制度、统计周期与碳核算边界</x:v>
      </x:c>
      <x:c r="P75" s="30" t="str">
        <x:v>calc_pci_replacement_ratio</x:v>
      </x:c>
    </x:row>
    <x:row r="76" ht="72" customHeight="1">
      <x:c r="A76" s="48" t="str">
        <x:v>E010</x:v>
      </x:c>
      <x:c r="B76" s="48" t="str">
        <x:v>高炉低碳</x:v>
      </x:c>
      <x:c r="C76" s="30" t="str">
        <x:v>炉顶煤气组成</x:v>
      </x:c>
      <x:c r="D76" s="30" t="str">
        <x:v>确定性公式/规则</x:v>
      </x:c>
      <x:c r="E76" s="30" t="str">
        <x:v>C/O/H/N平衡与反应平衡</x:v>
      </x:c>
      <x:c r="F76" s="30" t="str">
        <x:v>风量、燃料、还原度、湿分</x:v>
      </x:c>
      <x:c r="G76" s="30" t="str">
        <x:v>CO/CO2/H2/N2组成与体积</x:v>
      </x:c>
      <x:c r="H76" s="48" t="str">
        <x:v>否</x:v>
      </x:c>
      <x:c r="I76" s="30" t="str">
        <x:v>DS042高炉日/月数据+原料分析+能源/排放因子</x:v>
      </x:c>
      <x:c r="J76" s="30" t="str">
        <x:v>Python函数；Pydantic参数校验；单元测试</x:v>
      </x:c>
      <x:c r="K76" s="48" t="str">
        <x:v>DS025,DS026,DS027,DS042</x:v>
      </x:c>
      <x:c r="L76" s="48" t="str">
        <x:v>P1</x:v>
      </x:c>
      <x:c r="M76" s="48" t="str">
        <x:v>低</x:v>
      </x:c>
      <x:c r="N76" s="30" t="str">
        <x:v>解析解/手算样例/边界值单元测试</x:v>
      </x:c>
      <x:c r="O76" s="30" t="str">
        <x:v>高炉具有强时滞和炉况差异；模型必须绑定高炉、炉料制度、统计周期与碳核算边界</x:v>
      </x:c>
      <x:c r="P76" s="30" t="str">
        <x:v>calc_top_gas_composition</x:v>
      </x:c>
    </x:row>
    <x:row r="77" ht="72" customHeight="1">
      <x:c r="A77" s="48" t="str">
        <x:v>E011</x:v>
      </x:c>
      <x:c r="B77" s="48" t="str">
        <x:v>高炉低碳</x:v>
      </x:c>
      <x:c r="C77" s="30" t="str">
        <x:v>CO/CO2利用率</x:v>
      </x:c>
      <x:c r="D77" s="30" t="str">
        <x:v>确定性公式/规则</x:v>
      </x:c>
      <x:c r="E77" s="30" t="str">
        <x:v>ηCO=CO2/(CO+CO2)等指标</x:v>
      </x:c>
      <x:c r="F77" s="30" t="str">
        <x:v>顶煤气组成</x:v>
      </x:c>
      <x:c r="G77" s="30" t="str">
        <x:v>CO/H2利用率、趋势</x:v>
      </x:c>
      <x:c r="H77" s="48" t="str">
        <x:v>否</x:v>
      </x:c>
      <x:c r="I77" s="30" t="str">
        <x:v>DS042高炉日/月数据+原料分析+能源/排放因子</x:v>
      </x:c>
      <x:c r="J77" s="30" t="str">
        <x:v>Python函数；Pydantic参数校验；单元测试</x:v>
      </x:c>
      <x:c r="K77" s="48" t="str">
        <x:v>DS025,DS026,DS027,DS042</x:v>
      </x:c>
      <x:c r="L77" s="48" t="str">
        <x:v>P1</x:v>
      </x:c>
      <x:c r="M77" s="48" t="str">
        <x:v>低</x:v>
      </x:c>
      <x:c r="N77" s="30" t="str">
        <x:v>解析解/手算样例/边界值单元测试</x:v>
      </x:c>
      <x:c r="O77" s="30" t="str">
        <x:v>高炉具有强时滞和炉况差异；模型必须绑定高炉、炉料制度、统计周期与碳核算边界</x:v>
      </x:c>
      <x:c r="P77" s="30" t="str">
        <x:v>calc_gas_utilization</x:v>
      </x:c>
    </x:row>
    <x:row r="78" ht="72" customHeight="1">
      <x:c r="A78" s="48" t="str">
        <x:v>E012</x:v>
      </x:c>
      <x:c r="B78" s="48" t="str">
        <x:v>高炉低碳</x:v>
      </x:c>
      <x:c r="C78" s="30" t="str">
        <x:v>风口前煤气量</x:v>
      </x:c>
      <x:c r="D78" s="30" t="str">
        <x:v>确定性公式/规则</x:v>
      </x:c>
      <x:c r="E78" s="30" t="str">
        <x:v>鼓风、富氧、喷吹燃料的风口区气量平衡</x:v>
      </x:c>
      <x:c r="F78" s="30" t="str">
        <x:v>风量、湿分、富氧、喷煤</x:v>
      </x:c>
      <x:c r="G78" s="30" t="str">
        <x:v>理论煤气量、组成</x:v>
      </x:c>
      <x:c r="H78" s="48" t="str">
        <x:v>否</x:v>
      </x:c>
      <x:c r="I78" s="30" t="str">
        <x:v>DS042高炉日/月数据+原料分析+能源/排放因子</x:v>
      </x:c>
      <x:c r="J78" s="30" t="str">
        <x:v>Python函数；Pydantic参数校验；单元测试</x:v>
      </x:c>
      <x:c r="K78" s="48" t="str">
        <x:v>DS025,DS026,DS027,DS042</x:v>
      </x:c>
      <x:c r="L78" s="48" t="str">
        <x:v>P1</x:v>
      </x:c>
      <x:c r="M78" s="48" t="str">
        <x:v>低</x:v>
      </x:c>
      <x:c r="N78" s="30" t="str">
        <x:v>解析解/手算样例/边界值单元测试</x:v>
      </x:c>
      <x:c r="O78" s="30" t="str">
        <x:v>高炉具有强时滞和炉况差异；模型必须绑定高炉、炉料制度、统计周期与碳核算边界</x:v>
      </x:c>
      <x:c r="P78" s="30" t="str">
        <x:v>calc_tuyere_gas_volume</x:v>
      </x:c>
    </x:row>
    <x:row r="79" ht="72" customHeight="1">
      <x:c r="A79" s="48" t="str">
        <x:v>E013</x:v>
      </x:c>
      <x:c r="B79" s="48" t="str">
        <x:v>高炉低碳</x:v>
      </x:c>
      <x:c r="C79" s="30" t="str">
        <x:v>风口回旋区绝热火焰温度</x:v>
      </x:c>
      <x:c r="D79" s="30" t="str">
        <x:v>确定性公式/规则</x:v>
      </x:c>
      <x:c r="E79" s="30" t="str">
        <x:v>风口区绝热热平衡</x:v>
      </x:c>
      <x:c r="F79" s="30" t="str">
        <x:v>风温、富氧、湿分、喷煤/气</x:v>
      </x:c>
      <x:c r="G79" s="30" t="str">
        <x:v>RAFT、热量分项</x:v>
      </x:c>
      <x:c r="H79" s="48" t="str">
        <x:v>否</x:v>
      </x:c>
      <x:c r="I79" s="30" t="str">
        <x:v>DS042高炉日/月数据+原料分析+能源/排放因子</x:v>
      </x:c>
      <x:c r="J79" s="30" t="str">
        <x:v>Python函数；Pydantic参数校验；单元测试</x:v>
      </x:c>
      <x:c r="K79" s="48" t="str">
        <x:v>DS001,DS002,DS025,DS042</x:v>
      </x:c>
      <x:c r="L79" s="48" t="str">
        <x:v>P1</x:v>
      </x:c>
      <x:c r="M79" s="48" t="str">
        <x:v>低</x:v>
      </x:c>
      <x:c r="N79" s="30" t="str">
        <x:v>解析解/手算样例/边界值单元测试</x:v>
      </x:c>
      <x:c r="O79" s="30" t="str">
        <x:v>高炉具有强时滞和炉况差异；模型必须绑定高炉、炉料制度、统计周期与碳核算边界</x:v>
      </x:c>
      <x:c r="P79" s="30" t="str">
        <x:v>calc_raceway_adiabatic_flame_temp</x:v>
      </x:c>
    </x:row>
    <x:row r="80" ht="72" customHeight="1">
      <x:c r="A80" s="48" t="str">
        <x:v>E014</x:v>
      </x:c>
      <x:c r="B80" s="48" t="str">
        <x:v>高炉低碳</x:v>
      </x:c>
      <x:c r="C80" s="30" t="str">
        <x:v>料柱Ergun压降</x:v>
      </x:c>
      <x:c r="D80" s="30" t="str">
        <x:v>确定性公式/规则</x:v>
      </x:c>
      <x:c r="E80" s="30" t="str">
        <x:v>Ergun方程与多层料柱叠加</x:v>
      </x:c>
      <x:c r="F80" s="30" t="str">
        <x:v>粒径、空隙率、气速、物性、层厚</x:v>
      </x:c>
      <x:c r="G80" s="30" t="str">
        <x:v>压降、临界区段</x:v>
      </x:c>
      <x:c r="H80" s="48" t="str">
        <x:v>否</x:v>
      </x:c>
      <x:c r="I80" s="30" t="str">
        <x:v>DS042高炉日/月数据+原料分析+能源/排放因子</x:v>
      </x:c>
      <x:c r="J80" s="30" t="str">
        <x:v>Python函数；Pydantic参数校验；单元测试</x:v>
      </x:c>
      <x:c r="K80" s="48" t="str">
        <x:v>DS025,DS026,DS027,DS042</x:v>
      </x:c>
      <x:c r="L80" s="48" t="str">
        <x:v>P1</x:v>
      </x:c>
      <x:c r="M80" s="48" t="str">
        <x:v>低</x:v>
      </x:c>
      <x:c r="N80" s="30" t="str">
        <x:v>解析解/手算样例/边界值单元测试</x:v>
      </x:c>
      <x:c r="O80" s="30" t="str">
        <x:v>高炉具有强时滞和炉况差异；模型必须绑定高炉、炉料制度、统计周期与碳核算边界</x:v>
      </x:c>
      <x:c r="P80" s="30" t="str">
        <x:v>calc_burden_ergun_pressure_drop</x:v>
      </x:c>
    </x:row>
    <x:row r="81" ht="72" customHeight="1">
      <x:c r="A81" s="48" t="str">
        <x:v>E015</x:v>
      </x:c>
      <x:c r="B81" s="48" t="str">
        <x:v>高炉低碳</x:v>
      </x:c>
      <x:c r="C81" s="30" t="str">
        <x:v>透气性指数</x:v>
      </x:c>
      <x:c r="D81" s="30" t="str">
        <x:v>确定性公式/规则</x:v>
      </x:c>
      <x:c r="E81" s="30" t="str">
        <x:v>压差/风量/料柱修正指数</x:v>
      </x:c>
      <x:c r="F81" s="30" t="str">
        <x:v>压差、风量、炉顶压力、料线</x:v>
      </x:c>
      <x:c r="G81" s="30" t="str">
        <x:v>透气性指数、趋势异常</x:v>
      </x:c>
      <x:c r="H81" s="48" t="str">
        <x:v>否</x:v>
      </x:c>
      <x:c r="I81" s="30" t="str">
        <x:v>DS042高炉日/月数据+原料分析+能源/排放因子</x:v>
      </x:c>
      <x:c r="J81" s="30" t="str">
        <x:v>Python函数；Pydantic参数校验；单元测试</x:v>
      </x:c>
      <x:c r="K81" s="48" t="str">
        <x:v>DS025,DS026,DS027,DS042</x:v>
      </x:c>
      <x:c r="L81" s="48" t="str">
        <x:v>P2</x:v>
      </x:c>
      <x:c r="M81" s="48" t="str">
        <x:v>低</x:v>
      </x:c>
      <x:c r="N81" s="30" t="str">
        <x:v>解析解/手算样例/边界值单元测试</x:v>
      </x:c>
      <x:c r="O81" s="30" t="str">
        <x:v>高炉具有强时滞和炉况差异；模型必须绑定高炉、炉料制度、统计周期与碳核算边界</x:v>
      </x:c>
      <x:c r="P81" s="30" t="str">
        <x:v>calc_permeability_index</x:v>
      </x:c>
    </x:row>
    <x:row r="82" ht="72" customHeight="1">
      <x:c r="A82" s="48" t="str">
        <x:v>E016</x:v>
      </x:c>
      <x:c r="B82" s="48" t="str">
        <x:v>高炉低碳</x:v>
      </x:c>
      <x:c r="C82" s="30" t="str">
        <x:v>布料分布指数</x:v>
      </x:c>
      <x:c r="D82" s="30" t="str">
        <x:v>指标/数据模型</x:v>
      </x:c>
      <x:c r="E82" s="30" t="str">
        <x:v>布料矩阵、径向矿焦比和粒度分布</x:v>
      </x:c>
      <x:c r="F82" s="30" t="str">
        <x:v>溜槽角度、批次、探尺/雷达数据</x:v>
      </x:c>
      <x:c r="G82" s="30" t="str">
        <x:v>径向分布指数、均匀性</x:v>
      </x:c>
      <x:c r="H82" s="48" t="str">
        <x:v>可选</x:v>
      </x:c>
      <x:c r="I82" s="30" t="str">
        <x:v>DS042高炉日/月数据+原料分析+能源/排放因子</x:v>
      </x:c>
      <x:c r="J82" s="30" t="str">
        <x:v>Python函数；Pydantic参数校验；单元测试</x:v>
      </x:c>
      <x:c r="K82" s="48" t="str">
        <x:v>DS025,DS026,DS027,DS042</x:v>
      </x:c>
      <x:c r="L82" s="48" t="str">
        <x:v>P2</x:v>
      </x:c>
      <x:c r="M82" s="48" t="str">
        <x:v>低</x:v>
      </x:c>
      <x:c r="N82" s="30" t="str">
        <x:v>解析解/手算样例/边界值单元测试</x:v>
      </x:c>
      <x:c r="O82" s="30" t="str">
        <x:v>高炉具有强时滞和炉况差异；模型必须绑定高炉、炉料制度、统计周期与碳核算边界</x:v>
      </x:c>
      <x:c r="P82" s="30" t="str">
        <x:v>calc_burden_distribution_index</x:v>
      </x:c>
    </x:row>
    <x:row r="83" ht="72" customHeight="1">
      <x:c r="A83" s="48" t="str">
        <x:v>E017</x:v>
      </x:c>
      <x:c r="B83" s="48" t="str">
        <x:v>高炉低碳</x:v>
      </x:c>
      <x:c r="C83" s="30" t="str">
        <x:v>铁水硅预测</x:v>
      </x:c>
      <x:c r="D83" s="30" t="str">
        <x:v>机器学习预测</x:v>
      </x:c>
      <x:c r="E83" s="30" t="str">
        <x:v>时滞特征+GBDT/时序模型+物料平衡约束</x:v>
      </x:c>
      <x:c r="F83" s="30" t="str">
        <x:v>近数小时工艺、炉料、风口、煤气、历史化验</x:v>
      </x:c>
      <x:c r="G83" s="30" t="str">
        <x:v>铁水Si/温度预测、区间、贡献</x:v>
      </x:c>
      <x:c r="H83" s="48" t="str">
        <x:v>是</x:v>
      </x:c>
      <x:c r="I83" s="30" t="str">
        <x:v>DS042高炉日/月数据+原料分析+能源/排放因子</x:v>
      </x:c>
      <x:c r="J83" s="30" t="str">
        <x:v>滚动时间窗特征；时间外推验证；漂移监测</x:v>
      </x:c>
      <x:c r="K83" s="48" t="str">
        <x:v>DS041,DS042</x:v>
      </x:c>
      <x:c r="L83" s="48" t="str">
        <x:v>P2</x:v>
      </x:c>
      <x:c r="M83" s="48" t="str">
        <x:v>高</x:v>
      </x:c>
      <x:c r="N83" s="30" t="str">
        <x:v>按出铁次时间切分+炉况分层+操作员基线</x:v>
      </x:c>
      <x:c r="O83" s="30" t="str">
        <x:v>高炉具有强时滞和炉况差异；模型必须绑定高炉、炉料制度、统计周期与碳核算边界</x:v>
      </x:c>
      <x:c r="P83" s="30" t="str">
        <x:v>predict_hot_metal_silicon</x:v>
      </x:c>
    </x:row>
    <x:row r="84" ht="72" customHeight="1">
      <x:c r="A84" s="48" t="str">
        <x:v>E018</x:v>
      </x:c>
      <x:c r="B84" s="48" t="str">
        <x:v>高炉低碳</x:v>
      </x:c>
      <x:c r="C84" s="30" t="str">
        <x:v>铁水温度预测</x:v>
      </x:c>
      <x:c r="D84" s="30" t="str">
        <x:v>机器学习预测</x:v>
      </x:c>
      <x:c r="E84" s="30" t="str">
        <x:v>时滞特征+GBDT/时序模型+物料平衡约束</x:v>
      </x:c>
      <x:c r="F84" s="30" t="str">
        <x:v>近数小时工艺、炉料、风口、煤气、历史化验</x:v>
      </x:c>
      <x:c r="G84" s="30" t="str">
        <x:v>铁水Si/温度预测、区间、贡献</x:v>
      </x:c>
      <x:c r="H84" s="48" t="str">
        <x:v>是</x:v>
      </x:c>
      <x:c r="I84" s="30" t="str">
        <x:v>DS042高炉日/月数据+原料分析+能源/排放因子</x:v>
      </x:c>
      <x:c r="J84" s="30" t="str">
        <x:v>滚动时间窗特征；时间外推验证；漂移监测</x:v>
      </x:c>
      <x:c r="K84" s="48" t="str">
        <x:v>DS041,DS042</x:v>
      </x:c>
      <x:c r="L84" s="48" t="str">
        <x:v>P2</x:v>
      </x:c>
      <x:c r="M84" s="48" t="str">
        <x:v>高</x:v>
      </x:c>
      <x:c r="N84" s="30" t="str">
        <x:v>按出铁次时间切分+炉况分层+操作员基线</x:v>
      </x:c>
      <x:c r="O84" s="30" t="str">
        <x:v>高炉具有强时滞和炉况差异；模型必须绑定高炉、炉料制度、统计周期与碳核算边界</x:v>
      </x:c>
      <x:c r="P84" s="30" t="str">
        <x:v>predict_hot_metal_temperature</x:v>
      </x:c>
    </x:row>
    <x:row r="85" ht="72" customHeight="1">
      <x:c r="A85" s="48" t="str">
        <x:v>E019</x:v>
      </x:c>
      <x:c r="B85" s="48" t="str">
        <x:v>高炉低碳</x:v>
      </x:c>
      <x:c r="C85" s="30" t="str">
        <x:v>炉况稳定性分类</x:v>
      </x:c>
      <x:c r="D85" s="30" t="str">
        <x:v>分类/异常检测</x:v>
      </x:c>
      <x:c r="E85" s="30" t="str">
        <x:v>多变量时序特征+可解释分类器</x:v>
      </x:c>
      <x:c r="F85" s="30" t="str">
        <x:v>压差、炉顶、风口、煤气、料线等</x:v>
      </x:c>
      <x:c r="G85" s="30" t="str">
        <x:v>稳定/预警类别、风险因素</x:v>
      </x:c>
      <x:c r="H85" s="48" t="str">
        <x:v>是</x:v>
      </x:c>
      <x:c r="I85" s="30" t="str">
        <x:v>DS042高炉日/月数据+原料分析+能源/排放因子</x:v>
      </x:c>
      <x:c r="J85" s="30" t="str">
        <x:v>规则与ML双通道；高风险报警需高召回</x:v>
      </x:c>
      <x:c r="K85" s="48" t="str">
        <x:v>DS041,DS042</x:v>
      </x:c>
      <x:c r="L85" s="48" t="str">
        <x:v>P2</x:v>
      </x:c>
      <x:c r="M85" s="48" t="str">
        <x:v>高</x:v>
      </x:c>
      <x:c r="N85" s="30" t="str">
        <x:v>历史异常回放+专家复核+提前量/误报率</x:v>
      </x:c>
      <x:c r="O85" s="30" t="str">
        <x:v>高炉具有强时滞和炉况差异；模型必须绑定高炉、炉料制度、统计周期与碳核算边界</x:v>
      </x:c>
      <x:c r="P85" s="30" t="str">
        <x:v>classify_bf_stability</x:v>
      </x:c>
    </x:row>
    <x:row r="86" ht="72" customHeight="1">
      <x:c r="A86" s="48" t="str">
        <x:v>E020</x:v>
      </x:c>
      <x:c r="B86" s="48" t="str">
        <x:v>高炉低碳</x:v>
      </x:c>
      <x:c r="C86" s="30" t="str">
        <x:v>高炉碳足迹</x:v>
      </x:c>
      <x:c r="D86" s="30" t="str">
        <x:v>碳核算</x:v>
      </x:c>
      <x:c r="E86" s="30" t="str">
        <x:v>活动数据×排放因子；工序边界与分配规则</x:v>
      </x:c>
      <x:c r="F86" s="30" t="str">
        <x:v>焦/煤/电/气/原料/产量、因子版本</x:v>
      </x:c>
      <x:c r="G86" s="30" t="str">
        <x:v>tCO2e/tHM、分项排放、范围说明</x:v>
      </x:c>
      <x:c r="H86" s="48" t="str">
        <x:v>否</x:v>
      </x:c>
      <x:c r="I86" s="30" t="str">
        <x:v>DS042高炉日/月数据+原料分析+能源/排放因子</x:v>
      </x:c>
      <x:c r="J86" s="30" t="str">
        <x:v>Python函数；Pydantic参数校验；单元测试</x:v>
      </x:c>
      <x:c r="K86" s="48" t="str">
        <x:v>DS026,DS027,DS028,DS029,DS042</x:v>
      </x:c>
      <x:c r="L86" s="48" t="str">
        <x:v>P2</x:v>
      </x:c>
      <x:c r="M86" s="48" t="str">
        <x:v>中</x:v>
      </x:c>
      <x:c r="N86" s="30" t="str">
        <x:v>总碳守恒/因子版本审计+第三方核算口径比对</x:v>
      </x:c>
      <x:c r="O86" s="30" t="str">
        <x:v>高炉具有强时滞和炉况差异；模型必须绑定高炉、炉料制度、统计周期与碳核算边界</x:v>
      </x:c>
      <x:c r="P86" s="30" t="str">
        <x:v>calc_bf_carbon_footprint</x:v>
      </x:c>
    </x:row>
    <x:row r="87" ht="72" customHeight="1">
      <x:c r="A87" s="48" t="str">
        <x:v>F001</x:v>
      </x:c>
      <x:c r="B87" s="48" t="str">
        <x:v>连铸质量与二冷</x:v>
      </x:c>
      <x:c r="C87" s="30" t="str">
        <x:v>液相线温度</x:v>
      </x:c>
      <x:c r="D87" s="30" t="str">
        <x:v>经验/热力学模型</x:v>
      </x:c>
      <x:c r="E87" s="30" t="str">
        <x:v>成分经验式或CALPHAD</x:v>
      </x:c>
      <x:c r="F87" s="30" t="str">
        <x:v>钢种成分、数据库/公式版本</x:v>
      </x:c>
      <x:c r="G87" s="30" t="str">
        <x:v>液相线/固相线温度、置信区间</x:v>
      </x:c>
      <x:c r="H87" s="48" t="str">
        <x:v>可选</x:v>
      </x:c>
      <x:c r="I87" s="30" t="str">
        <x:v>DS042钢种/浇次/温度/拉速/水量/质量数据+物性</x:v>
      </x:c>
      <x:c r="J87" s="30" t="str">
        <x:v>Python函数；Pydantic参数校验；单元测试</x:v>
      </x:c>
      <x:c r="K87" s="48" t="str">
        <x:v>DS031,DS035,DS036,DS037,DS042</x:v>
      </x:c>
      <x:c r="L87" s="48" t="str">
        <x:v>P0</x:v>
      </x:c>
      <x:c r="M87" s="48" t="str">
        <x:v>低-中</x:v>
      </x:c>
      <x:c r="N87" s="30" t="str">
        <x:v>解析解/手算样例/边界值单元测试</x:v>
      </x:c>
      <x:c r="O87" s="30" t="str">
        <x:v>连铸模型必须绑定钢种、断面、设备、喷嘴与传感器配置；高风险报警须人工/联锁规则复核</x:v>
      </x:c>
      <x:c r="P87" s="30" t="str">
        <x:v>calc_liquidus_temperature</x:v>
      </x:c>
    </x:row>
    <x:row r="88" ht="72" customHeight="1">
      <x:c r="A88" s="48" t="str">
        <x:v>F002</x:v>
      </x:c>
      <x:c r="B88" s="48" t="str">
        <x:v>连铸质量与二冷</x:v>
      </x:c>
      <x:c r="C88" s="30" t="str">
        <x:v>固相线温度</x:v>
      </x:c>
      <x:c r="D88" s="30" t="str">
        <x:v>经验/热力学模型</x:v>
      </x:c>
      <x:c r="E88" s="30" t="str">
        <x:v>成分经验式或CALPHAD</x:v>
      </x:c>
      <x:c r="F88" s="30" t="str">
        <x:v>钢种成分、数据库/公式版本</x:v>
      </x:c>
      <x:c r="G88" s="30" t="str">
        <x:v>液相线/固相线温度、置信区间</x:v>
      </x:c>
      <x:c r="H88" s="48" t="str">
        <x:v>可选</x:v>
      </x:c>
      <x:c r="I88" s="30" t="str">
        <x:v>DS042钢种/浇次/温度/拉速/水量/质量数据+物性</x:v>
      </x:c>
      <x:c r="J88" s="30" t="str">
        <x:v>Python函数；Pydantic参数校验；单元测试</x:v>
      </x:c>
      <x:c r="K88" s="48" t="str">
        <x:v>DS031,DS035,DS036,DS037,DS042</x:v>
      </x:c>
      <x:c r="L88" s="48" t="str">
        <x:v>P0</x:v>
      </x:c>
      <x:c r="M88" s="48" t="str">
        <x:v>低-中</x:v>
      </x:c>
      <x:c r="N88" s="30" t="str">
        <x:v>解析解/手算样例/边界值单元测试</x:v>
      </x:c>
      <x:c r="O88" s="30" t="str">
        <x:v>连铸模型必须绑定钢种、断面、设备、喷嘴与传感器配置；高风险报警须人工/联锁规则复核</x:v>
      </x:c>
      <x:c r="P88" s="30" t="str">
        <x:v>calc_solidus_temperature</x:v>
      </x:c>
    </x:row>
    <x:row r="89" ht="72" customHeight="1">
      <x:c r="A89" s="48" t="str">
        <x:v>F003</x:v>
      </x:c>
      <x:c r="B89" s="48" t="str">
        <x:v>连铸质量与二冷</x:v>
      </x:c>
      <x:c r="C89" s="30" t="str">
        <x:v>钢液过热度</x:v>
      </x:c>
      <x:c r="D89" s="30" t="str">
        <x:v>确定性公式/规则</x:v>
      </x:c>
      <x:c r="E89" s="30" t="str">
        <x:v>浇注温度-液相线温度</x:v>
      </x:c>
      <x:c r="F89" s="30" t="str">
        <x:v>中包/钢包温度、液相线</x:v>
      </x:c>
      <x:c r="G89" s="30" t="str">
        <x:v>过热度、合格判定</x:v>
      </x:c>
      <x:c r="H89" s="48" t="str">
        <x:v>否</x:v>
      </x:c>
      <x:c r="I89" s="30" t="str">
        <x:v>DS042钢种/浇次/温度/拉速/水量/质量数据+物性</x:v>
      </x:c>
      <x:c r="J89" s="30" t="str">
        <x:v>Python函数；Pydantic参数校验；单元测试</x:v>
      </x:c>
      <x:c r="K89" s="48" t="str">
        <x:v>DS031,DS035,DS036,DS037,DS042</x:v>
      </x:c>
      <x:c r="L89" s="48" t="str">
        <x:v>P0</x:v>
      </x:c>
      <x:c r="M89" s="48" t="str">
        <x:v>低-中</x:v>
      </x:c>
      <x:c r="N89" s="30" t="str">
        <x:v>解析解/手算样例/边界值单元测试</x:v>
      </x:c>
      <x:c r="O89" s="30" t="str">
        <x:v>连铸模型必须绑定钢种、断面、设备、喷嘴与传感器配置；高风险报警须人工/联锁规则复核</x:v>
      </x:c>
      <x:c r="P89" s="30" t="str">
        <x:v>calc_steel_superheat</x:v>
      </x:c>
    </x:row>
    <x:row r="90" ht="72" customHeight="1">
      <x:c r="A90" s="48" t="str">
        <x:v>F004</x:v>
      </x:c>
      <x:c r="B90" s="48" t="str">
        <x:v>连铸质量与二冷</x:v>
      </x:c>
      <x:c r="C90" s="30" t="str">
        <x:v>固相率曲线</x:v>
      </x:c>
      <x:c r="D90" s="30" t="str">
        <x:v>热力学/凝固模型</x:v>
      </x:c>
      <x:c r="E90" s="30" t="str">
        <x:v>平衡/Scheil固相率曲线</x:v>
      </x:c>
      <x:c r="F90" s="30" t="str">
        <x:v>成分、温度、数据库</x:v>
      </x:c>
      <x:c r="G90" s="30" t="str">
        <x:v>fs(T)、潜热分配</x:v>
      </x:c>
      <x:c r="H90" s="48" t="str">
        <x:v>否</x:v>
      </x:c>
      <x:c r="I90" s="30" t="str">
        <x:v>DS042钢种/浇次/温度/拉速/水量/质量数据+物性</x:v>
      </x:c>
      <x:c r="J90" s="30" t="str">
        <x:v>Python函数；Pydantic参数校验；单元测试</x:v>
      </x:c>
      <x:c r="K90" s="48" t="str">
        <x:v>DS031,DS043</x:v>
      </x:c>
      <x:c r="L90" s="48" t="str">
        <x:v>P0</x:v>
      </x:c>
      <x:c r="M90" s="48" t="str">
        <x:v>低-中</x:v>
      </x:c>
      <x:c r="N90" s="30" t="str">
        <x:v>解析解/手算样例/边界值单元测试</x:v>
      </x:c>
      <x:c r="O90" s="30" t="str">
        <x:v>连铸模型必须绑定钢种、断面、设备、喷嘴与传感器配置；高风险报警须人工/联锁规则复核</x:v>
      </x:c>
      <x:c r="P90" s="30" t="str">
        <x:v>calc_solid_fraction_curve</x:v>
      </x:c>
    </x:row>
    <x:row r="91" ht="72" customHeight="1">
      <x:c r="A91" s="48" t="str">
        <x:v>F005</x:v>
      </x:c>
      <x:c r="B91" s="48" t="str">
        <x:v>连铸质量与二冷</x:v>
      </x:c>
      <x:c r="C91" s="30" t="str">
        <x:v>一维坯壳厚度</x:v>
      </x:c>
      <x:c r="D91" s="30" t="str">
        <x:v>传热模型</x:v>
      </x:c>
      <x:c r="E91" s="30" t="str">
        <x:v>一维瞬态导热+潜热/等效比热</x:v>
      </x:c>
      <x:c r="F91" s="30" t="str">
        <x:v>铸坯几何、拉速、边界热流、物性</x:v>
      </x:c>
      <x:c r="G91" s="30" t="str">
        <x:v>坯壳厚度、温度场、能量残差</x:v>
      </x:c>
      <x:c r="H91" s="48" t="str">
        <x:v>否</x:v>
      </x:c>
      <x:c r="I91" s="30" t="str">
        <x:v>DS042钢种/浇次/温度/拉速/水量/质量数据+物性</x:v>
      </x:c>
      <x:c r="J91" s="30" t="str">
        <x:v>FiPy/SciPy快速求解；网格独立性测试</x:v>
      </x:c>
      <x:c r="K91" s="48" t="str">
        <x:v>DS031,DS035,DS036,DS037,DS042</x:v>
      </x:c>
      <x:c r="L91" s="48" t="str">
        <x:v>P1</x:v>
      </x:c>
      <x:c r="M91" s="48" t="str">
        <x:v>中</x:v>
      </x:c>
      <x:c r="N91" s="30" t="str">
        <x:v>解析解/手算样例/边界值单元测试</x:v>
      </x:c>
      <x:c r="O91" s="30" t="str">
        <x:v>连铸模型必须绑定钢种、断面、设备、喷嘴与传感器配置；高风险报警须人工/联锁规则复核</x:v>
      </x:c>
      <x:c r="P91" s="30" t="str">
        <x:v>calc_shell_thickness_1d</x:v>
      </x:c>
    </x:row>
    <x:row r="92" ht="72" customHeight="1">
      <x:c r="A92" s="48" t="str">
        <x:v>F006</x:v>
      </x:c>
      <x:c r="B92" s="48" t="str">
        <x:v>连铸质量与二冷</x:v>
      </x:c>
      <x:c r="C92" s="30" t="str">
        <x:v>凝固终点预测</x:v>
      </x:c>
      <x:c r="D92" s="30" t="str">
        <x:v>传热/代理模型</x:v>
      </x:c>
      <x:c r="E92" s="30" t="str">
        <x:v>温度场固相率阈值或回归代理</x:v>
      </x:c>
      <x:c r="F92" s="30" t="str">
        <x:v>拉速、过热度、水量、钢种、断面</x:v>
      </x:c>
      <x:c r="G92" s="30" t="str">
        <x:v>凝固终点位置、置信区间</x:v>
      </x:c>
      <x:c r="H92" s="48" t="str">
        <x:v>可选</x:v>
      </x:c>
      <x:c r="I92" s="30" t="str">
        <x:v>DS042钢种/浇次/温度/拉速/水量/质量数据+物性</x:v>
      </x:c>
      <x:c r="J92" s="30" t="str">
        <x:v>Python函数；Pydantic参数校验；单元测试</x:v>
      </x:c>
      <x:c r="K92" s="48" t="str">
        <x:v>DS031,DS035,DS036,DS037,DS042</x:v>
      </x:c>
      <x:c r="L92" s="48" t="str">
        <x:v>P1</x:v>
      </x:c>
      <x:c r="M92" s="48" t="str">
        <x:v>高</x:v>
      </x:c>
      <x:c r="N92" s="30" t="str">
        <x:v>解析解/手算样例/边界值单元测试</x:v>
      </x:c>
      <x:c r="O92" s="30" t="str">
        <x:v>连铸模型必须绑定钢种、断面、设备、喷嘴与传感器配置；高风险报警须人工/联锁规则复核</x:v>
      </x:c>
      <x:c r="P92" s="30" t="str">
        <x:v>predict_solidification_end</x:v>
      </x:c>
    </x:row>
    <x:row r="93" ht="72" customHeight="1">
      <x:c r="A93" s="48" t="str">
        <x:v>F007</x:v>
      </x:c>
      <x:c r="B93" s="48" t="str">
        <x:v>连铸质量与二冷</x:v>
      </x:c>
      <x:c r="C93" s="30" t="str">
        <x:v>结晶器热流计算</x:v>
      </x:c>
      <x:c r="D93" s="30" t="str">
        <x:v>确定性公式/规则</x:v>
      </x:c>
      <x:c r="E93" s="30" t="str">
        <x:v>冷却水热平衡/热电偶反演/经验关联</x:v>
      </x:c>
      <x:c r="F93" s="30" t="str">
        <x:v>水温流量、铜板温度、铸速</x:v>
      </x:c>
      <x:c r="G93" s="30" t="str">
        <x:v>热流密度、纵向分布</x:v>
      </x:c>
      <x:c r="H93" s="48" t="str">
        <x:v>否</x:v>
      </x:c>
      <x:c r="I93" s="30" t="str">
        <x:v>DS042钢种/浇次/温度/拉速/水量/质量数据+物性</x:v>
      </x:c>
      <x:c r="J93" s="30" t="str">
        <x:v>Python函数；Pydantic参数校验；单元测试</x:v>
      </x:c>
      <x:c r="K93" s="48" t="str">
        <x:v>DS031,DS035,DS036,DS037,DS042</x:v>
      </x:c>
      <x:c r="L93" s="48" t="str">
        <x:v>P1</x:v>
      </x:c>
      <x:c r="M93" s="48" t="str">
        <x:v>低</x:v>
      </x:c>
      <x:c r="N93" s="30" t="str">
        <x:v>解析解/手算样例/边界值单元测试</x:v>
      </x:c>
      <x:c r="O93" s="30" t="str">
        <x:v>连铸模型必须绑定钢种、断面、设备、喷嘴与传感器配置；高风险报警须人工/联锁规则复核</x:v>
      </x:c>
      <x:c r="P93" s="30" t="str">
        <x:v>calc_mold_heat_flux</x:v>
      </x:c>
    </x:row>
    <x:row r="94" ht="72" customHeight="1">
      <x:c r="A94" s="48" t="str">
        <x:v>F008</x:v>
      </x:c>
      <x:c r="B94" s="48" t="str">
        <x:v>连铸质量与二冷</x:v>
      </x:c>
      <x:c r="C94" s="30" t="str">
        <x:v>二冷总水量计算</x:v>
      </x:c>
      <x:c r="D94" s="30" t="str">
        <x:v>确定性公式/规则</x:v>
      </x:c>
      <x:c r="E94" s="30" t="str">
        <x:v>目标表面温度/比水量经验模型</x:v>
      </x:c>
      <x:c r="F94" s="30" t="str">
        <x:v>钢种、断面、拉速、目标温度</x:v>
      </x:c>
      <x:c r="G94" s="30" t="str">
        <x:v>总水量、比水量</x:v>
      </x:c>
      <x:c r="H94" s="48" t="str">
        <x:v>否</x:v>
      </x:c>
      <x:c r="I94" s="30" t="str">
        <x:v>DS042钢种/浇次/温度/拉速/水量/质量数据+物性</x:v>
      </x:c>
      <x:c r="J94" s="30" t="str">
        <x:v>Python函数；Pydantic参数校验；单元测试</x:v>
      </x:c>
      <x:c r="K94" s="48" t="str">
        <x:v>DS031,DS035,DS036,DS037,DS042</x:v>
      </x:c>
      <x:c r="L94" s="48" t="str">
        <x:v>P1</x:v>
      </x:c>
      <x:c r="M94" s="48" t="str">
        <x:v>低</x:v>
      </x:c>
      <x:c r="N94" s="30" t="str">
        <x:v>解析解/手算样例/边界值单元测试</x:v>
      </x:c>
      <x:c r="O94" s="30" t="str">
        <x:v>连铸模型必须绑定钢种、断面、设备、喷嘴与传感器配置；高风险报警须人工/联锁规则复核</x:v>
      </x:c>
      <x:c r="P94" s="30" t="str">
        <x:v>calc_total_secondary_cooling_water</x:v>
      </x:c>
    </x:row>
    <x:row r="95" ht="72" customHeight="1">
      <x:c r="A95" s="48" t="str">
        <x:v>F009</x:v>
      </x:c>
      <x:c r="B95" s="48" t="str">
        <x:v>连铸质量与二冷</x:v>
      </x:c>
      <x:c r="C95" s="30" t="str">
        <x:v>二冷分区水量分配</x:v>
      </x:c>
      <x:c r="D95" s="30" t="str">
        <x:v>约束优化</x:v>
      </x:c>
      <x:c r="E95" s="30" t="str">
        <x:v>各区换热模型+温度/回温约束</x:v>
      </x:c>
      <x:c r="F95" s="30" t="str">
        <x:v>总水量、区段、喷嘴、拉速、目标温度</x:v>
      </x:c>
      <x:c r="G95" s="30" t="str">
        <x:v>分区水量、温度曲线、约束余量</x:v>
      </x:c>
      <x:c r="H95" s="48" t="str">
        <x:v>否</x:v>
      </x:c>
      <x:c r="I95" s="30" t="str">
        <x:v>DS042钢种/浇次/温度/拉速/水量/质量数据+物性</x:v>
      </x:c>
      <x:c r="J95" s="30" t="str">
        <x:v>Python函数；Pydantic参数校验；单元测试</x:v>
      </x:c>
      <x:c r="K95" s="48" t="str">
        <x:v>DS038,DS042</x:v>
      </x:c>
      <x:c r="L95" s="48" t="str">
        <x:v>P1</x:v>
      </x:c>
      <x:c r="M95" s="48" t="str">
        <x:v>高</x:v>
      </x:c>
      <x:c r="N95" s="30" t="str">
        <x:v>解析解/手算样例/边界值单元测试</x:v>
      </x:c>
      <x:c r="O95" s="30" t="str">
        <x:v>连铸模型必须绑定钢种、断面、设备、喷嘴与传感器配置；高风险报警须人工/联锁规则复核</x:v>
      </x:c>
      <x:c r="P95" s="30" t="str">
        <x:v>allocate_secondary_cooling_water</x:v>
      </x:c>
    </x:row>
    <x:row r="96" ht="72" customHeight="1">
      <x:c r="A96" s="48" t="str">
        <x:v>F010</x:v>
      </x:c>
      <x:c r="B96" s="48" t="str">
        <x:v>连铸质量与二冷</x:v>
      </x:c>
      <x:c r="C96" s="30" t="str">
        <x:v>反问题换热系数辨识</x:v>
      </x:c>
      <x:c r="D96" s="30" t="str">
        <x:v>反问题/参数辨识</x:v>
      </x:c>
      <x:c r="E96" s="30" t="str">
        <x:v>最小二乘/贝叶斯反演</x:v>
      </x:c>
      <x:c r="F96" s="30" t="str">
        <x:v>测温、位置、传热模型、先验范围</x:v>
      </x:c>
      <x:c r="G96" s="30" t="str">
        <x:v>换热系数、置信区间、拟合残差</x:v>
      </x:c>
      <x:c r="H96" s="48" t="str">
        <x:v>否</x:v>
      </x:c>
      <x:c r="I96" s="30" t="str">
        <x:v>DS042钢种/浇次/温度/拉速/水量/质量数据+物性</x:v>
      </x:c>
      <x:c r="J96" s="30" t="str">
        <x:v>SciPy least_squares/FEniCS伴随可选</x:v>
      </x:c>
      <x:c r="K96" s="48" t="str">
        <x:v>DS037,DS040,DS042</x:v>
      </x:c>
      <x:c r="L96" s="48" t="str">
        <x:v>P1</x:v>
      </x:c>
      <x:c r="M96" s="48" t="str">
        <x:v>高</x:v>
      </x:c>
      <x:c r="N96" s="30" t="str">
        <x:v>解析解/手算样例/边界值单元测试</x:v>
      </x:c>
      <x:c r="O96" s="30" t="str">
        <x:v>连铸模型必须绑定钢种、断面、设备、喷嘴与传感器配置；高风险报警须人工/联锁规则复核</x:v>
      </x:c>
      <x:c r="P96" s="30" t="str">
        <x:v>identify_heat_transfer_coefficient</x:v>
      </x:c>
    </x:row>
    <x:row r="97" ht="72" customHeight="1">
      <x:c r="A97" s="48" t="str">
        <x:v>F011</x:v>
      </x:c>
      <x:c r="B97" s="48" t="str">
        <x:v>连铸质量与二冷</x:v>
      </x:c>
      <x:c r="C97" s="30" t="str">
        <x:v>拉速优化</x:v>
      </x:c>
      <x:c r="D97" s="30" t="str">
        <x:v>约束优化</x:v>
      </x:c>
      <x:c r="E97" s="30" t="str">
        <x:v>产量、凝固终点、温度、质量风险多目标优化</x:v>
      </x:c>
      <x:c r="F97" s="30" t="str">
        <x:v>钢种、断面、温度、水量、设备约束</x:v>
      </x:c>
      <x:c r="G97" s="30" t="str">
        <x:v>拉速建议、风险/产量权衡</x:v>
      </x:c>
      <x:c r="H97" s="48" t="str">
        <x:v>否</x:v>
      </x:c>
      <x:c r="I97" s="30" t="str">
        <x:v>DS042钢种/浇次/温度/拉速/水量/质量数据+物性</x:v>
      </x:c>
      <x:c r="J97" s="30" t="str">
        <x:v>Python函数；Pydantic参数校验；单元测试</x:v>
      </x:c>
      <x:c r="K97" s="48" t="str">
        <x:v>DS038,DS042</x:v>
      </x:c>
      <x:c r="L97" s="48" t="str">
        <x:v>P1</x:v>
      </x:c>
      <x:c r="M97" s="48" t="str">
        <x:v>高</x:v>
      </x:c>
      <x:c r="N97" s="30" t="str">
        <x:v>解析解/手算样例/边界值单元测试</x:v>
      </x:c>
      <x:c r="O97" s="30" t="str">
        <x:v>连铸模型必须绑定钢种、断面、设备、喷嘴与传感器配置；高风险报警须人工/联锁规则复核</x:v>
      </x:c>
      <x:c r="P97" s="30" t="str">
        <x:v>optimize_casting_speed</x:v>
      </x:c>
    </x:row>
    <x:row r="98" ht="72" customHeight="1">
      <x:c r="A98" s="48" t="str">
        <x:v>F012</x:v>
      </x:c>
      <x:c r="B98" s="48" t="str">
        <x:v>连铸质量与二冷</x:v>
      </x:c>
      <x:c r="C98" s="30" t="str">
        <x:v>漏钢风险预测</x:v>
      </x:c>
      <x:c r="D98" s="30" t="str">
        <x:v>时序风险预测</x:v>
      </x:c>
      <x:c r="E98" s="30" t="str">
        <x:v>热电偶时空特征+规则+分类模型</x:v>
      </x:c>
      <x:c r="F98" s="30" t="str">
        <x:v>结晶器热电偶、液面、拉速、水量</x:v>
      </x:c>
      <x:c r="G98" s="30" t="str">
        <x:v>漏钢风险、位置、提前量、证据</x:v>
      </x:c>
      <x:c r="H98" s="48" t="str">
        <x:v>是</x:v>
      </x:c>
      <x:c r="I98" s="30" t="str">
        <x:v>DS042钢种/浇次/温度/拉速/水量/质量数据+物性</x:v>
      </x:c>
      <x:c r="J98" s="30" t="str">
        <x:v>事件窗口+类别不平衡处理；报警阈值可配置</x:v>
      </x:c>
      <x:c r="K98" s="48" t="str">
        <x:v>DS041,DS042</x:v>
      </x:c>
      <x:c r="L98" s="48" t="str">
        <x:v>P1</x:v>
      </x:c>
      <x:c r="M98" s="48" t="str">
        <x:v>高</x:v>
      </x:c>
      <x:c r="N98" s="30" t="str">
        <x:v>历史漏钢/黏结回放+提前量、召回率、误报率</x:v>
      </x:c>
      <x:c r="O98" s="30" t="str">
        <x:v>连铸模型必须绑定钢种、断面、设备、喷嘴与传感器配置；高风险报警须人工/联锁规则复核</x:v>
      </x:c>
      <x:c r="P98" s="30" t="str">
        <x:v>predict_breakout_risk</x:v>
      </x:c>
    </x:row>
    <x:row r="99" ht="72" customHeight="1">
      <x:c r="A99" s="48" t="str">
        <x:v>F013</x:v>
      </x:c>
      <x:c r="B99" s="48" t="str">
        <x:v>连铸质量与二冷</x:v>
      </x:c>
      <x:c r="C99" s="30" t="str">
        <x:v>液面波动异常检测</x:v>
      </x:c>
      <x:c r="D99" s="30" t="str">
        <x:v>时序异常检测</x:v>
      </x:c>
      <x:c r="E99" s="30" t="str">
        <x:v>滤波、频域特征、变点/孤立森林</x:v>
      </x:c>
      <x:c r="F99" s="30" t="str">
        <x:v>液位时序、塞棒、拉速</x:v>
      </x:c>
      <x:c r="G99" s="30" t="str">
        <x:v>异常片段、频率特征、严重级别</x:v>
      </x:c>
      <x:c r="H99" s="48" t="str">
        <x:v>可选</x:v>
      </x:c>
      <x:c r="I99" s="30" t="str">
        <x:v>DS042钢种/浇次/温度/拉速/水量/质量数据+物性</x:v>
      </x:c>
      <x:c r="J99" s="30" t="str">
        <x:v>Python函数；Pydantic参数校验；单元测试</x:v>
      </x:c>
      <x:c r="K99" s="48" t="str">
        <x:v>DS041,DS042</x:v>
      </x:c>
      <x:c r="L99" s="48" t="str">
        <x:v>P1</x:v>
      </x:c>
      <x:c r="M99" s="48" t="str">
        <x:v>中</x:v>
      </x:c>
      <x:c r="N99" s="30" t="str">
        <x:v>解析解/手算样例/边界值单元测试</x:v>
      </x:c>
      <x:c r="O99" s="30" t="str">
        <x:v>连铸模型必须绑定钢种、断面、设备、喷嘴与传感器配置；高风险报警须人工/联锁规则复核</x:v>
      </x:c>
      <x:c r="P99" s="30" t="str">
        <x:v>detect_mold_level_anomaly</x:v>
      </x:c>
    </x:row>
    <x:row r="100" ht="72" customHeight="1">
      <x:c r="A100" s="48" t="str">
        <x:v>F014</x:v>
      </x:c>
      <x:c r="B100" s="48" t="str">
        <x:v>连铸质量与二冷</x:v>
      </x:c>
      <x:c r="C100" s="30" t="str">
        <x:v>铸坯热应力/应变</x:v>
      </x:c>
      <x:c r="D100" s="30" t="str">
        <x:v>有限元/简化力学</x:v>
      </x:c>
      <x:c r="E100" s="30" t="str">
        <x:v>温度场驱动热弹塑性/裂纹判据</x:v>
      </x:c>
      <x:c r="F100" s="30" t="str">
        <x:v>温度场、材料高温力学、边界条件</x:v>
      </x:c>
      <x:c r="G100" s="30" t="str">
        <x:v>应力/应变、危险位置</x:v>
      </x:c>
      <x:c r="H100" s="48" t="str">
        <x:v>否</x:v>
      </x:c>
      <x:c r="I100" s="30" t="str">
        <x:v>DS042钢种/浇次/温度/拉速/水量/质量数据+物性</x:v>
      </x:c>
      <x:c r="J100" s="30" t="str">
        <x:v>FEniCSx简化模型或商业FEA封装</x:v>
      </x:c>
      <x:c r="K100" s="48" t="str">
        <x:v>DS037,DS042</x:v>
      </x:c>
      <x:c r="L100" s="48" t="str">
        <x:v>P1</x:v>
      </x:c>
      <x:c r="M100" s="48" t="str">
        <x:v>高</x:v>
      </x:c>
      <x:c r="N100" s="30" t="str">
        <x:v>解析解/手算样例/边界值单元测试</x:v>
      </x:c>
      <x:c r="O100" s="30" t="str">
        <x:v>连铸模型必须绑定钢种、断面、设备、喷嘴与传感器配置；高风险报警须人工/联锁规则复核</x:v>
      </x:c>
      <x:c r="P100" s="30" t="str">
        <x:v>calc_casting_thermal_stress</x:v>
      </x:c>
    </x:row>
    <x:row r="101" ht="72" customHeight="1">
      <x:c r="A101" s="48" t="str">
        <x:v>F015</x:v>
      </x:c>
      <x:c r="B101" s="48" t="str">
        <x:v>连铸质量与二冷</x:v>
      </x:c>
      <x:c r="C101" s="30" t="str">
        <x:v>表面裂纹敏感性</x:v>
      </x:c>
      <x:c r="D101" s="30" t="str">
        <x:v>机器学习预测</x:v>
      </x:c>
      <x:c r="E101" s="30" t="str">
        <x:v>工艺+成分+热状态特征的GBDT/分类回归</x:v>
      </x:c>
      <x:c r="F101" s="30" t="str">
        <x:v>钢种、浇铸参数、温度/水量/拉速、质量检测</x:v>
      </x:c>
      <x:c r="G101" s="30" t="str">
        <x:v>质量风险/等级、置信度、主要影响因素</x:v>
      </x:c>
      <x:c r="H101" s="48" t="str">
        <x:v>是</x:v>
      </x:c>
      <x:c r="I101" s="30" t="str">
        <x:v>DS042钢种/浇次/温度/拉速/水量/质量数据+物性</x:v>
      </x:c>
      <x:c r="J101" s="30" t="str">
        <x:v>按浇次/钢种分组切分；特征泄漏审计；SHAP解释</x:v>
      </x:c>
      <x:c r="K101" s="48" t="str">
        <x:v>DS014,DS041,DS042</x:v>
      </x:c>
      <x:c r="L101" s="48" t="str">
        <x:v>P2</x:v>
      </x:c>
      <x:c r="M101" s="48" t="str">
        <x:v>高</x:v>
      </x:c>
      <x:c r="N101" s="30" t="str">
        <x:v>独立浇次测试+钢种外推+专家复核</x:v>
      </x:c>
      <x:c r="O101" s="30" t="str">
        <x:v>连铸模型必须绑定钢种、断面、设备、喷嘴与传感器配置；高风险报警须人工/联锁规则复核</x:v>
      </x:c>
      <x:c r="P101" s="30" t="str">
        <x:v>predict_surface_crack_susceptibility</x:v>
      </x:c>
    </x:row>
    <x:row r="102" ht="72" customHeight="1">
      <x:c r="A102" s="48" t="str">
        <x:v>F016</x:v>
      </x:c>
      <x:c r="B102" s="48" t="str">
        <x:v>连铸质量与二冷</x:v>
      </x:c>
      <x:c r="C102" s="30" t="str">
        <x:v>中心偏析预测</x:v>
      </x:c>
      <x:c r="D102" s="30" t="str">
        <x:v>机器学习预测</x:v>
      </x:c>
      <x:c r="E102" s="30" t="str">
        <x:v>工艺+成分+热状态特征的GBDT/分类回归</x:v>
      </x:c>
      <x:c r="F102" s="30" t="str">
        <x:v>钢种、浇铸参数、温度/水量/拉速、质量检测</x:v>
      </x:c>
      <x:c r="G102" s="30" t="str">
        <x:v>质量风险/等级、置信度、主要影响因素</x:v>
      </x:c>
      <x:c r="H102" s="48" t="str">
        <x:v>是</x:v>
      </x:c>
      <x:c r="I102" s="30" t="str">
        <x:v>DS042钢种/浇次/温度/拉速/水量/质量数据+物性</x:v>
      </x:c>
      <x:c r="J102" s="30" t="str">
        <x:v>按浇次/钢种分组切分；特征泄漏审计；SHAP解释</x:v>
      </x:c>
      <x:c r="K102" s="48" t="str">
        <x:v>DS014,DS041,DS042</x:v>
      </x:c>
      <x:c r="L102" s="48" t="str">
        <x:v>P2</x:v>
      </x:c>
      <x:c r="M102" s="48" t="str">
        <x:v>高</x:v>
      </x:c>
      <x:c r="N102" s="30" t="str">
        <x:v>独立浇次测试+钢种外推+专家复核</x:v>
      </x:c>
      <x:c r="O102" s="30" t="str">
        <x:v>连铸模型必须绑定钢种、断面、设备、喷嘴与传感器配置；高风险报警须人工/联锁规则复核</x:v>
      </x:c>
      <x:c r="P102" s="30" t="str">
        <x:v>predict_centerline_segregation</x:v>
      </x:c>
    </x:row>
    <x:row r="103" ht="72" customHeight="1">
      <x:c r="A103" s="48" t="str">
        <x:v>F017</x:v>
      </x:c>
      <x:c r="B103" s="48" t="str">
        <x:v>连铸质量与二冷</x:v>
      </x:c>
      <x:c r="C103" s="30" t="str">
        <x:v>中心疏松预测</x:v>
      </x:c>
      <x:c r="D103" s="30" t="str">
        <x:v>机器学习预测</x:v>
      </x:c>
      <x:c r="E103" s="30" t="str">
        <x:v>工艺+成分+热状态特征的GBDT/分类回归</x:v>
      </x:c>
      <x:c r="F103" s="30" t="str">
        <x:v>钢种、浇铸参数、温度/水量/拉速、质量检测</x:v>
      </x:c>
      <x:c r="G103" s="30" t="str">
        <x:v>质量风险/等级、置信度、主要影响因素</x:v>
      </x:c>
      <x:c r="H103" s="48" t="str">
        <x:v>是</x:v>
      </x:c>
      <x:c r="I103" s="30" t="str">
        <x:v>DS042钢种/浇次/温度/拉速/水量/质量数据+物性</x:v>
      </x:c>
      <x:c r="J103" s="30" t="str">
        <x:v>按浇次/钢种分组切分；特征泄漏审计；SHAP解释</x:v>
      </x:c>
      <x:c r="K103" s="48" t="str">
        <x:v>DS014,DS041,DS042</x:v>
      </x:c>
      <x:c r="L103" s="48" t="str">
        <x:v>P2</x:v>
      </x:c>
      <x:c r="M103" s="48" t="str">
        <x:v>高</x:v>
      </x:c>
      <x:c r="N103" s="30" t="str">
        <x:v>独立浇次测试+钢种外推+专家复核</x:v>
      </x:c>
      <x:c r="O103" s="30" t="str">
        <x:v>连铸模型必须绑定钢种、断面、设备、喷嘴与传感器配置；高风险报警须人工/联锁规则复核</x:v>
      </x:c>
      <x:c r="P103" s="30" t="str">
        <x:v>predict_center_porosity</x:v>
      </x:c>
    </x:row>
    <x:row r="104" ht="72" customHeight="1">
      <x:c r="A104" s="48" t="str">
        <x:v>F018</x:v>
      </x:c>
      <x:c r="B104" s="48" t="str">
        <x:v>连铸质量与二冷</x:v>
      </x:c>
      <x:c r="C104" s="30" t="str">
        <x:v>夹杂物上浮时间</x:v>
      </x:c>
      <x:c r="D104" s="30" t="str">
        <x:v>确定性公式/规则</x:v>
      </x:c>
      <x:c r="E104" s="30" t="str">
        <x:v>Stokes上浮+流场修正</x:v>
      </x:c>
      <x:c r="F104" s="30" t="str">
        <x:v>夹杂尺寸/密度、钢液物性、流场尺度</x:v>
      </x:c>
      <x:c r="G104" s="30" t="str">
        <x:v>上浮速度、停留时间、捕获概率</x:v>
      </x:c>
      <x:c r="H104" s="48" t="str">
        <x:v>否</x:v>
      </x:c>
      <x:c r="I104" s="30" t="str">
        <x:v>DS042钢种/浇次/温度/拉速/水量/质量数据+物性</x:v>
      </x:c>
      <x:c r="J104" s="30" t="str">
        <x:v>Python函数；Pydantic参数校验；单元测试</x:v>
      </x:c>
      <x:c r="K104" s="48" t="str">
        <x:v>DS031,DS035,DS036,DS037,DS042</x:v>
      </x:c>
      <x:c r="L104" s="48" t="str">
        <x:v>P2</x:v>
      </x:c>
      <x:c r="M104" s="48" t="str">
        <x:v>低</x:v>
      </x:c>
      <x:c r="N104" s="30" t="str">
        <x:v>解析解/手算样例/边界值单元测试</x:v>
      </x:c>
      <x:c r="O104" s="30" t="str">
        <x:v>连铸模型必须绑定钢种、断面、设备、喷嘴与传感器配置；高风险报警须人工/联锁规则复核</x:v>
      </x:c>
      <x:c r="P104" s="30" t="str">
        <x:v>calc_inclusion_float_time</x:v>
      </x:c>
    </x:row>
    <x:row r="105" ht="72" customHeight="1">
      <x:c r="A105" s="48" t="str">
        <x:v>F019</x:v>
      </x:c>
      <x:c r="B105" s="48" t="str">
        <x:v>连铸质量与二冷</x:v>
      </x:c>
      <x:c r="C105" s="30" t="str">
        <x:v>电磁搅拌效果指数</x:v>
      </x:c>
      <x:c r="D105" s="30" t="str">
        <x:v>指标/代理模型</x:v>
      </x:c>
      <x:c r="E105" s="30" t="str">
        <x:v>电磁力尺度分析+历史回归</x:v>
      </x:c>
      <x:c r="F105" s="30" t="str">
        <x:v>电流频率、断面、拉速、偏析指标</x:v>
      </x:c>
      <x:c r="G105" s="30" t="str">
        <x:v>搅拌效果指数、推荐区间</x:v>
      </x:c>
      <x:c r="H105" s="48" t="str">
        <x:v>可选</x:v>
      </x:c>
      <x:c r="I105" s="30" t="str">
        <x:v>DS042钢种/浇次/温度/拉速/水量/质量数据+物性</x:v>
      </x:c>
      <x:c r="J105" s="30" t="str">
        <x:v>Python函数；Pydantic参数校验；单元测试</x:v>
      </x:c>
      <x:c r="K105" s="48" t="str">
        <x:v>DS035,DS041,DS042</x:v>
      </x:c>
      <x:c r="L105" s="48" t="str">
        <x:v>P2</x:v>
      </x:c>
      <x:c r="M105" s="48" t="str">
        <x:v>高</x:v>
      </x:c>
      <x:c r="N105" s="30" t="str">
        <x:v>解析解/手算样例/边界值单元测试</x:v>
      </x:c>
      <x:c r="O105" s="30" t="str">
        <x:v>连铸模型必须绑定钢种、断面、设备、喷嘴与传感器配置；高风险报警须人工/联锁规则复核</x:v>
      </x:c>
      <x:c r="P105" s="30" t="str">
        <x:v>calc_ems_effect_index</x:v>
      </x:c>
    </x:row>
    <x:row r="106" ht="72" customHeight="1">
      <x:c r="A106" s="48" t="str">
        <x:v>F020</x:v>
      </x:c>
      <x:c r="B106" s="48" t="str">
        <x:v>连铸质量与二冷</x:v>
      </x:c>
      <x:c r="C106" s="30" t="str">
        <x:v>铸坯质量分类</x:v>
      </x:c>
      <x:c r="D106" s="30" t="str">
        <x:v>机器学习预测</x:v>
      </x:c>
      <x:c r="E106" s="30" t="str">
        <x:v>工艺+成分+热状态特征的GBDT/分类回归</x:v>
      </x:c>
      <x:c r="F106" s="30" t="str">
        <x:v>钢种、浇铸参数、温度/水量/拉速、质量检测</x:v>
      </x:c>
      <x:c r="G106" s="30" t="str">
        <x:v>质量风险/等级、置信度、主要影响因素</x:v>
      </x:c>
      <x:c r="H106" s="48" t="str">
        <x:v>是</x:v>
      </x:c>
      <x:c r="I106" s="30" t="str">
        <x:v>DS042钢种/浇次/温度/拉速/水量/质量数据+物性</x:v>
      </x:c>
      <x:c r="J106" s="30" t="str">
        <x:v>按浇次/钢种分组切分；特征泄漏审计；SHAP解释</x:v>
      </x:c>
      <x:c r="K106" s="48" t="str">
        <x:v>DS014,DS041,DS042</x:v>
      </x:c>
      <x:c r="L106" s="48" t="str">
        <x:v>P2</x:v>
      </x:c>
      <x:c r="M106" s="48" t="str">
        <x:v>高</x:v>
      </x:c>
      <x:c r="N106" s="30" t="str">
        <x:v>独立浇次测试+钢种外推+专家复核</x:v>
      </x:c>
      <x:c r="O106" s="30" t="str">
        <x:v>连铸模型必须绑定钢种、断面、设备、喷嘴与传感器配置；高风险报警须人工/联锁规则复核</x:v>
      </x:c>
      <x:c r="P106" s="30" t="str">
        <x:v>classify_cast_product_quality</x:v>
      </x:c>
    </x:row>
    <x:row r="107" ht="72" customHeight="1">
      <x:c r="A107" s="48" t="str">
        <x:v>G001</x:v>
      </x:c>
      <x:c r="B107" s="48" t="str">
        <x:v>仿真/优化/智能体支撑</x:v>
      </x:c>
      <x:c r="C107" s="30" t="str">
        <x:v>网格尺度估计</x:v>
      </x:c>
      <x:c r="D107" s="30" t="str">
        <x:v>确定性公式/规则</x:v>
      </x:c>
      <x:c r="E107" s="30" t="str">
        <x:v>边界层/温度梯度尺度+网格无关性规则</x:v>
      </x:c>
      <x:c r="F107" s="30" t="str">
        <x:v>几何、物性、速度、目标误差</x:v>
      </x:c>
      <x:c r="G107" s="30" t="str">
        <x:v>建议网格尺寸、层数、验证计划</x:v>
      </x:c>
      <x:c r="H107" s="48" t="str">
        <x:v>否</x:v>
      </x:c>
      <x:c r="I107" s="30" t="str">
        <x:v>公开基础数据+项目数据字典</x:v>
      </x:c>
      <x:c r="J107" s="30" t="str">
        <x:v>Python函数；Pydantic参数校验；单元测试</x:v>
      </x:c>
      <x:c r="K107" s="48" t="str">
        <x:v>DS035,DS036,DS037,DS038,DS040,DS041</x:v>
      </x:c>
      <x:c r="L107" s="48" t="str">
        <x:v>P1</x:v>
      </x:c>
      <x:c r="M107" s="48" t="str">
        <x:v>低</x:v>
      </x:c>
      <x:c r="N107" s="30" t="str">
        <x:v>解析解/手算样例/边界值单元测试</x:v>
      </x:c>
      <x:c r="O107" s="30" t="str">
        <x:v>所有仿真与优化工具必须返回收敛状态、约束违反、软件版本、运行日志和可复现实验清单</x:v>
      </x:c>
      <x:c r="P107" s="30" t="str">
        <x:v>estimate_mesh_resolution</x:v>
      </x:c>
    </x:row>
    <x:row r="108" ht="72" customHeight="1">
      <x:c r="A108" s="48" t="str">
        <x:v>G002</x:v>
      </x:c>
      <x:c r="B108" s="48" t="str">
        <x:v>仿真/优化/智能体支撑</x:v>
      </x:c>
      <x:c r="C108" s="30" t="str">
        <x:v>时间步与CFL校验</x:v>
      </x:c>
      <x:c r="D108" s="30" t="str">
        <x:v>确定性公式/规则</x:v>
      </x:c>
      <x:c r="E108" s="30" t="str">
        <x:v>CFL/Fourier数/扩散稳定性条件</x:v>
      </x:c>
      <x:c r="F108" s="30" t="str">
        <x:v>网格、速度、扩散率、求解器</x:v>
      </x:c>
      <x:c r="G108" s="30" t="str">
        <x:v>最大时间步、稳定性诊断</x:v>
      </x:c>
      <x:c r="H108" s="48" t="str">
        <x:v>否</x:v>
      </x:c>
      <x:c r="I108" s="30" t="str">
        <x:v>公开基础数据+项目数据字典</x:v>
      </x:c>
      <x:c r="J108" s="30" t="str">
        <x:v>Python函数；Pydantic参数校验；单元测试</x:v>
      </x:c>
      <x:c r="K108" s="48" t="str">
        <x:v>DS035,DS036,DS037,DS038,DS040,DS041</x:v>
      </x:c>
      <x:c r="L108" s="48" t="str">
        <x:v>P1</x:v>
      </x:c>
      <x:c r="M108" s="48" t="str">
        <x:v>低</x:v>
      </x:c>
      <x:c r="N108" s="30" t="str">
        <x:v>解析解/手算样例/边界值单元测试</x:v>
      </x:c>
      <x:c r="O108" s="30" t="str">
        <x:v>所有仿真与优化工具必须返回收敛状态、约束违反、软件版本、运行日志和可复现实验清单</x:v>
      </x:c>
      <x:c r="P108" s="30" t="str">
        <x:v>check_time_step_cfl</x:v>
      </x:c>
    </x:row>
    <x:row r="109" ht="72" customHeight="1">
      <x:c r="A109" s="48" t="str">
        <x:v>G003</x:v>
      </x:c>
      <x:c r="B109" s="48" t="str">
        <x:v>仿真/优化/智能体支撑</x:v>
      </x:c>
      <x:c r="C109" s="30" t="str">
        <x:v>一维传热PDE求解</x:v>
      </x:c>
      <x:c r="D109" s="30" t="str">
        <x:v>PDE求解</x:v>
      </x:c>
      <x:c r="E109" s="30" t="str">
        <x:v>一维导热有限差分/有限体积</x:v>
      </x:c>
      <x:c r="F109" s="30" t="str">
        <x:v>几何、物性、热源、初边值</x:v>
      </x:c>
      <x:c r="G109" s="30" t="str">
        <x:v>温度场、热流、能量闭合</x:v>
      </x:c>
      <x:c r="H109" s="48" t="str">
        <x:v>否</x:v>
      </x:c>
      <x:c r="I109" s="30" t="str">
        <x:v>公开基础数据+项目数据字典</x:v>
      </x:c>
      <x:c r="J109" s="30" t="str">
        <x:v>SciPy/FiPy；作为连铸和热平衡共用组件</x:v>
      </x:c>
      <x:c r="K109" s="48" t="str">
        <x:v>DS035,DS036,DS037,DS038,DS040,DS041</x:v>
      </x:c>
      <x:c r="L109" s="48" t="str">
        <x:v>P1</x:v>
      </x:c>
      <x:c r="M109" s="48" t="str">
        <x:v>低</x:v>
      </x:c>
      <x:c r="N109" s="30" t="str">
        <x:v>解析解/手算样例/边界值单元测试</x:v>
      </x:c>
      <x:c r="O109" s="30" t="str">
        <x:v>所有仿真与优化工具必须返回收敛状态、约束违反、软件版本、运行日志和可复现实验清单</x:v>
      </x:c>
      <x:c r="P109" s="30" t="str">
        <x:v>solve_heat_pde_1d</x:v>
      </x:c>
    </x:row>
    <x:row r="110" ht="72" customHeight="1">
      <x:c r="A110" s="48" t="str">
        <x:v>G004</x:v>
      </x:c>
      <x:c r="B110" s="48" t="str">
        <x:v>仿真/优化/智能体支撑</x:v>
      </x:c>
      <x:c r="C110" s="30" t="str">
        <x:v>反应ODE求解</x:v>
      </x:c>
      <x:c r="D110" s="30" t="str">
        <x:v>ODE求解</x:v>
      </x:c>
      <x:c r="E110" s="30" t="str">
        <x:v>刚性/非刚性ODE自适应积分</x:v>
      </x:c>
      <x:c r="F110" s="30" t="str">
        <x:v>反应网络、速率、初值、时间区间</x:v>
      </x:c>
      <x:c r="G110" s="30" t="str">
        <x:v>状态轨迹、事件、收敛信息</x:v>
      </x:c>
      <x:c r="H110" s="48" t="str">
        <x:v>否</x:v>
      </x:c>
      <x:c r="I110" s="30" t="str">
        <x:v>公开基础数据+项目数据字典</x:v>
      </x:c>
      <x:c r="J110" s="30" t="str">
        <x:v>SciPy solve_ivp/Cantera ReactorNet</x:v>
      </x:c>
      <x:c r="K110" s="48" t="str">
        <x:v>DS035,DS036,DS037,DS038,DS040,DS041</x:v>
      </x:c>
      <x:c r="L110" s="48" t="str">
        <x:v>P2</x:v>
      </x:c>
      <x:c r="M110" s="48" t="str">
        <x:v>低</x:v>
      </x:c>
      <x:c r="N110" s="30" t="str">
        <x:v>解析解/手算样例/边界值单元测试</x:v>
      </x:c>
      <x:c r="O110" s="30" t="str">
        <x:v>所有仿真与优化工具必须返回收敛状态、约束违反、软件版本、运行日志和可复现实验清单</x:v>
      </x:c>
      <x:c r="P110" s="30" t="str">
        <x:v>solve_reaction_ode</x:v>
      </x:c>
    </x:row>
    <x:row r="111" ht="72" customHeight="1">
      <x:c r="A111" s="48" t="str">
        <x:v>G005</x:v>
      </x:c>
      <x:c r="B111" s="48" t="str">
        <x:v>仿真/优化/智能体支撑</x:v>
      </x:c>
      <x:c r="C111" s="30" t="str">
        <x:v>CFD参数化案例生成</x:v>
      </x:c>
      <x:c r="D111" s="30" t="str">
        <x:v>软件编排工具</x:v>
      </x:c>
      <x:c r="E111" s="30" t="str">
        <x:v>模板渲染+参数/边界条件校验</x:v>
      </x:c>
      <x:c r="F111" s="30" t="str">
        <x:v>几何模板、物性、工况、求解器设置</x:v>
      </x:c>
      <x:c r="G111" s="30" t="str">
        <x:v>可运行CFD案例目录、manifest</x:v>
      </x:c>
      <x:c r="H111" s="48" t="str">
        <x:v>否</x:v>
      </x:c>
      <x:c r="I111" s="30" t="str">
        <x:v>公开基础数据+项目数据字典</x:v>
      </x:c>
      <x:c r="J111" s="30" t="str">
        <x:v>Python函数；Pydantic参数校验；单元测试</x:v>
      </x:c>
      <x:c r="K111" s="48" t="str">
        <x:v>DS035,DS042</x:v>
      </x:c>
      <x:c r="L111" s="48" t="str">
        <x:v>P2</x:v>
      </x:c>
      <x:c r="M111" s="48" t="str">
        <x:v>高</x:v>
      </x:c>
      <x:c r="N111" s="30" t="str">
        <x:v>解析解/手算样例/边界值单元测试</x:v>
      </x:c>
      <x:c r="O111" s="30" t="str">
        <x:v>所有仿真与优化工具必须返回收敛状态、约束违反、软件版本、运行日志和可复现实验清单</x:v>
      </x:c>
      <x:c r="P111" s="30" t="str">
        <x:v>generate_cfd_case</x:v>
      </x:c>
    </x:row>
    <x:row r="112" ht="72" customHeight="1">
      <x:c r="A112" s="48" t="str">
        <x:v>G006</x:v>
      </x:c>
      <x:c r="B112" s="48" t="str">
        <x:v>仿真/优化/智能体支撑</x:v>
      </x:c>
      <x:c r="C112" s="30" t="str">
        <x:v>参数化仿真批处理</x:v>
      </x:c>
      <x:c r="D112" s="30" t="str">
        <x:v>批处理编排</x:v>
      </x:c>
      <x:c r="E112" s="30" t="str">
        <x:v>参数网格/试验设计+容器队列+失败重试</x:v>
      </x:c>
      <x:c r="F112" s="30" t="str">
        <x:v>案例模板、参数空间、资源配额</x:v>
      </x:c>
      <x:c r="G112" s="30" t="str">
        <x:v>运行状态、结果索引、失败原因</x:v>
      </x:c>
      <x:c r="H112" s="48" t="str">
        <x:v>否</x:v>
      </x:c>
      <x:c r="I112" s="30" t="str">
        <x:v>公开基础数据+项目数据字典</x:v>
      </x:c>
      <x:c r="J112" s="30" t="str">
        <x:v>Python函数；Pydantic参数校验；单元测试</x:v>
      </x:c>
      <x:c r="K112" s="48" t="str">
        <x:v>DS035,DS042</x:v>
      </x:c>
      <x:c r="L112" s="48" t="str">
        <x:v>P2</x:v>
      </x:c>
      <x:c r="M112" s="48" t="str">
        <x:v>高</x:v>
      </x:c>
      <x:c r="N112" s="30" t="str">
        <x:v>解析解/手算样例/边界值单元测试</x:v>
      </x:c>
      <x:c r="O112" s="30" t="str">
        <x:v>所有仿真与优化工具必须返回收敛状态、约束违反、软件版本、运行日志和可复现实验清单</x:v>
      </x:c>
      <x:c r="P112" s="30" t="str">
        <x:v>run_parametric_simulation_batch</x:v>
      </x:c>
    </x:row>
    <x:row r="113" ht="72" customHeight="1">
      <x:c r="A113" s="48" t="str">
        <x:v>G007</x:v>
      </x:c>
      <x:c r="B113" s="48" t="str">
        <x:v>仿真/优化/智能体支撑</x:v>
      </x:c>
      <x:c r="C113" s="30" t="str">
        <x:v>降阶/代理模型</x:v>
      </x:c>
      <x:c r="D113" s="30" t="str">
        <x:v>机器学习代理</x:v>
      </x:c>
      <x:c r="E113" s="30" t="str">
        <x:v>高斯过程/GBDT/神经网络降阶</x:v>
      </x:c>
      <x:c r="F113" s="30" t="str">
        <x:v>仿真/实验输入输出</x:v>
      </x:c>
      <x:c r="G113" s="30" t="str">
        <x:v>快速预测、置信区间、适用域</x:v>
      </x:c>
      <x:c r="H113" s="48" t="str">
        <x:v>是</x:v>
      </x:c>
      <x:c r="I113" s="30" t="str">
        <x:v>公开基础数据+项目数据字典</x:v>
      </x:c>
      <x:c r="J113" s="30" t="str">
        <x:v>Python函数；Pydantic参数校验；单元测试</x:v>
      </x:c>
      <x:c r="K113" s="48" t="str">
        <x:v>DS041,DS042</x:v>
      </x:c>
      <x:c r="L113" s="48" t="str">
        <x:v>P2</x:v>
      </x:c>
      <x:c r="M113" s="48" t="str">
        <x:v>高</x:v>
      </x:c>
      <x:c r="N113" s="30" t="str">
        <x:v>留出工况+外推测试+与高保真仿真误差</x:v>
      </x:c>
      <x:c r="O113" s="30" t="str">
        <x:v>所有仿真与优化工具必须返回收敛状态、约束违反、软件版本、运行日志和可复现实验清单</x:v>
      </x:c>
      <x:c r="P113" s="30" t="str">
        <x:v>train_surrogate_model</x:v>
      </x:c>
    </x:row>
    <x:row r="114" ht="72" customHeight="1">
      <x:c r="A114" s="48" t="str">
        <x:v>G008</x:v>
      </x:c>
      <x:c r="B114" s="48" t="str">
        <x:v>仿真/优化/智能体支撑</x:v>
      </x:c>
      <x:c r="C114" s="30" t="str">
        <x:v>插值与查表服务</x:v>
      </x:c>
      <x:c r="D114" s="30" t="str">
        <x:v>数据服务</x:v>
      </x:c>
      <x:c r="E114" s="30" t="str">
        <x:v>多维规则网格/散点插值+缓存</x:v>
      </x:c>
      <x:c r="F114" s="30" t="str">
        <x:v>查询点、表格版本、外推策略</x:v>
      </x:c>
      <x:c r="G114" s="30" t="str">
        <x:v>插值值、距离、是否外推</x:v>
      </x:c>
      <x:c r="H114" s="48" t="str">
        <x:v>否</x:v>
      </x:c>
      <x:c r="I114" s="30" t="str">
        <x:v>公开基础数据+项目数据字典</x:v>
      </x:c>
      <x:c r="J114" s="30" t="str">
        <x:v>Python函数；Pydantic参数校验；单元测试</x:v>
      </x:c>
      <x:c r="K114" s="48" t="str">
        <x:v>DS040,DS042</x:v>
      </x:c>
      <x:c r="L114" s="48" t="str">
        <x:v>P2</x:v>
      </x:c>
      <x:c r="M114" s="48" t="str">
        <x:v>中</x:v>
      </x:c>
      <x:c r="N114" s="30" t="str">
        <x:v>解析解/手算样例/边界值单元测试</x:v>
      </x:c>
      <x:c r="O114" s="30" t="str">
        <x:v>所有仿真与优化工具必须返回收敛状态、约束违反、软件版本、运行日志和可复现实验清单</x:v>
      </x:c>
      <x:c r="P114" s="30" t="str">
        <x:v>interpolate_lookup_table</x:v>
      </x:c>
    </x:row>
    <x:row r="115" ht="72" customHeight="1">
      <x:c r="A115" s="48" t="str">
        <x:v>G009</x:v>
      </x:c>
      <x:c r="B115" s="48" t="str">
        <x:v>仿真/优化/智能体支撑</x:v>
      </x:c>
      <x:c r="C115" s="30" t="str">
        <x:v>敏感性分析</x:v>
      </x:c>
      <x:c r="D115" s="30" t="str">
        <x:v>分析工具</x:v>
      </x:c>
      <x:c r="E115" s="30" t="str">
        <x:v>局部导数、Morris/Sobol可选</x:v>
      </x:c>
      <x:c r="F115" s="30" t="str">
        <x:v>模型、参数范围、采样预算</x:v>
      </x:c>
      <x:c r="G115" s="30" t="str">
        <x:v>敏感度排序、交互效应</x:v>
      </x:c>
      <x:c r="H115" s="48" t="str">
        <x:v>否</x:v>
      </x:c>
      <x:c r="I115" s="30" t="str">
        <x:v>公开基础数据+项目数据字典</x:v>
      </x:c>
      <x:c r="J115" s="30" t="str">
        <x:v>Python函数；Pydantic参数校验；单元测试</x:v>
      </x:c>
      <x:c r="K115" s="48" t="str">
        <x:v>DS040</x:v>
      </x:c>
      <x:c r="L115" s="48" t="str">
        <x:v>P2</x:v>
      </x:c>
      <x:c r="M115" s="48" t="str">
        <x:v>中</x:v>
      </x:c>
      <x:c r="N115" s="30" t="str">
        <x:v>解析解/手算样例/边界值单元测试</x:v>
      </x:c>
      <x:c r="O115" s="30" t="str">
        <x:v>所有仿真与优化工具必须返回收敛状态、约束违反、软件版本、运行日志和可复现实验清单</x:v>
      </x:c>
      <x:c r="P115" s="30" t="str">
        <x:v>run_sensitivity_analysis</x:v>
      </x:c>
    </x:row>
    <x:row r="116" ht="72" customHeight="1">
      <x:c r="A116" s="48" t="str">
        <x:v>G010</x:v>
      </x:c>
      <x:c r="B116" s="48" t="str">
        <x:v>仿真/优化/智能体支撑</x:v>
      </x:c>
      <x:c r="C116" s="30" t="str">
        <x:v>Monte Carlo不确定度分析</x:v>
      </x:c>
      <x:c r="D116" s="30" t="str">
        <x:v>不确定度分析</x:v>
      </x:c>
      <x:c r="E116" s="30" t="str">
        <x:v>输入分布采样+模型批量执行</x:v>
      </x:c>
      <x:c r="F116" s="30" t="str">
        <x:v>模型、输入分布、相关性、样本数</x:v>
      </x:c>
      <x:c r="G116" s="30" t="str">
        <x:v>输出分布、区间、失效概率</x:v>
      </x:c>
      <x:c r="H116" s="48" t="str">
        <x:v>否</x:v>
      </x:c>
      <x:c r="I116" s="30" t="str">
        <x:v>公开基础数据+项目数据字典</x:v>
      </x:c>
      <x:c r="J116" s="30" t="str">
        <x:v>Python函数；Pydantic参数校验；单元测试</x:v>
      </x:c>
      <x:c r="K116" s="48" t="str">
        <x:v>DS040</x:v>
      </x:c>
      <x:c r="L116" s="48" t="str">
        <x:v>P2</x:v>
      </x:c>
      <x:c r="M116" s="48" t="str">
        <x:v>中</x:v>
      </x:c>
      <x:c r="N116" s="30" t="str">
        <x:v>解析解/手算样例/边界值单元测试</x:v>
      </x:c>
      <x:c r="O116" s="30" t="str">
        <x:v>所有仿真与优化工具必须返回收敛状态、约束违反、软件版本、运行日志和可复现实验清单</x:v>
      </x:c>
      <x:c r="P116" s="30" t="str">
        <x:v>run_monte_carlo_uncertainty</x:v>
      </x:c>
    </x:row>
    <x:row r="117" ht="72" customHeight="1">
      <x:c r="A117" s="48" t="str">
        <x:v>G011</x:v>
      </x:c>
      <x:c r="B117" s="48" t="str">
        <x:v>仿真/优化/智能体支撑</x:v>
      </x:c>
      <x:c r="C117" s="30" t="str">
        <x:v>贝叶斯优化</x:v>
      </x:c>
      <x:c r="D117" s="30" t="str">
        <x:v>序贯优化</x:v>
      </x:c>
      <x:c r="E117" s="30" t="str">
        <x:v>高斯过程/TPE采集函数</x:v>
      </x:c>
      <x:c r="F117" s="30" t="str">
        <x:v>目标函数、约束、变量范围、预算</x:v>
      </x:c>
      <x:c r="G117" s="30" t="str">
        <x:v>推荐下一组参数、最优历史、置信度</x:v>
      </x:c>
      <x:c r="H117" s="48" t="str">
        <x:v>在线</x:v>
      </x:c>
      <x:c r="I117" s="30" t="str">
        <x:v>公开基础数据+项目数据字典</x:v>
      </x:c>
      <x:c r="J117" s="30" t="str">
        <x:v>Python函数；Pydantic参数校验；单元测试</x:v>
      </x:c>
      <x:c r="K117" s="48" t="str">
        <x:v>DS041,DS042</x:v>
      </x:c>
      <x:c r="L117" s="48" t="str">
        <x:v>P2</x:v>
      </x:c>
      <x:c r="M117" s="48" t="str">
        <x:v>高</x:v>
      </x:c>
      <x:c r="N117" s="30" t="str">
        <x:v>解析解/手算样例/边界值单元测试</x:v>
      </x:c>
      <x:c r="O117" s="30" t="str">
        <x:v>所有仿真与优化工具必须返回收敛状态、约束违反、软件版本、运行日志和可复现实验清单</x:v>
      </x:c>
      <x:c r="P117" s="30" t="str">
        <x:v>run_bayesian_optimization</x:v>
      </x:c>
    </x:row>
    <x:row r="118" ht="72" customHeight="1">
      <x:c r="A118" s="48" t="str">
        <x:v>G012</x:v>
      </x:c>
      <x:c r="B118" s="48" t="str">
        <x:v>仿真/优化/智能体支撑</x:v>
      </x:c>
      <x:c r="C118" s="30" t="str">
        <x:v>多目标优化</x:v>
      </x:c>
      <x:c r="D118" s="30" t="str">
        <x:v>多目标优化</x:v>
      </x:c>
      <x:c r="E118" s="30" t="str">
        <x:v>NSGA-II/ε约束/Pyomo</x:v>
      </x:c>
      <x:c r="F118" s="30" t="str">
        <x:v>目标、约束、变量、权重偏好</x:v>
      </x:c>
      <x:c r="G118" s="30" t="str">
        <x:v>Pareto解集、折中解、约束状态</x:v>
      </x:c>
      <x:c r="H118" s="48" t="str">
        <x:v>否</x:v>
      </x:c>
      <x:c r="I118" s="30" t="str">
        <x:v>公开基础数据+项目数据字典</x:v>
      </x:c>
      <x:c r="J118" s="30" t="str">
        <x:v>Python函数；Pydantic参数校验；单元测试</x:v>
      </x:c>
      <x:c r="K118" s="48" t="str">
        <x:v>DS038,DS042</x:v>
      </x:c>
      <x:c r="L118" s="48" t="str">
        <x:v>P2</x:v>
      </x:c>
      <x:c r="M118" s="48" t="str">
        <x:v>高</x:v>
      </x:c>
      <x:c r="N118" s="30" t="str">
        <x:v>解析解/手算样例/边界值单元测试</x:v>
      </x:c>
      <x:c r="O118" s="30" t="str">
        <x:v>所有仿真与优化工具必须返回收敛状态、约束违反、软件版本、运行日志和可复现实验清单</x:v>
      </x:c>
      <x:c r="P118" s="30" t="str">
        <x:v>run_multiobjective_optimization</x:v>
      </x:c>
    </x:row>
    <x:row r="119" ht="72" customHeight="1">
      <x:c r="A119" s="48" t="str">
        <x:v>G013</x:v>
      </x:c>
      <x:c r="B119" s="48" t="str">
        <x:v>仿真/优化/智能体支撑</x:v>
      </x:c>
      <x:c r="C119" s="30" t="str">
        <x:v>约束规则校验器</x:v>
      </x:c>
      <x:c r="D119" s="30" t="str">
        <x:v>规则引擎</x:v>
      </x:c>
      <x:c r="E119" s="30" t="str">
        <x:v>JSON规则/表达式树/物料能量与工艺边界</x:v>
      </x:c>
      <x:c r="F119" s="30" t="str">
        <x:v>模型输入输出、上下文、规则版本</x:v>
      </x:c>
      <x:c r="G119" s="30" t="str">
        <x:v>通过/失败、违反规则、修复建议</x:v>
      </x:c>
      <x:c r="H119" s="48" t="str">
        <x:v>否</x:v>
      </x:c>
      <x:c r="I119" s="30" t="str">
        <x:v>公开基础数据+项目数据字典</x:v>
      </x:c>
      <x:c r="J119" s="30" t="str">
        <x:v>Python函数；Pydantic参数校验；单元测试</x:v>
      </x:c>
      <x:c r="K119" s="48" t="str">
        <x:v>DS020,DS021,DS042</x:v>
      </x:c>
      <x:c r="L119" s="48" t="str">
        <x:v>P2</x:v>
      </x:c>
      <x:c r="M119" s="48" t="str">
        <x:v>高</x:v>
      </x:c>
      <x:c r="N119" s="30" t="str">
        <x:v>专家规则测试集+错误注入+规则版本回归</x:v>
      </x:c>
      <x:c r="O119" s="30" t="str">
        <x:v>所有仿真与优化工具必须返回收敛状态、约束违反、软件版本、运行日志和可复现实验清单</x:v>
      </x:c>
      <x:c r="P119" s="30" t="str">
        <x:v>validate_constraints</x:v>
      </x:c>
    </x:row>
    <x:row r="120" ht="72" customHeight="1">
      <x:c r="A120" s="48" t="str">
        <x:v>G014</x:v>
      </x:c>
      <x:c r="B120" s="48" t="str">
        <x:v>仿真/优化/智能体支撑</x:v>
      </x:c>
      <x:c r="C120" s="30" t="str">
        <x:v>模型路由评分器</x:v>
      </x:c>
      <x:c r="D120" s="30" t="str">
        <x:v>智能体路由模型</x:v>
      </x:c>
      <x:c r="E120" s="30" t="str">
        <x:v>能力矩阵+输入完整度+风险+成本+历史成功率评分</x:v>
      </x:c>
      <x:c r="F120" s="30" t="str">
        <x:v>任务意图、参数、候选工具元数据</x:v>
      </x:c>
      <x:c r="G120" s="30" t="str">
        <x:v>工具排序、是否强制调用/人工确认、理由</x:v>
      </x:c>
      <x:c r="H120" s="48" t="str">
        <x:v>可选</x:v>
      </x:c>
      <x:c r="I120" s="30" t="str">
        <x:v>公开基础数据+项目数据字典</x:v>
      </x:c>
      <x:c r="J120" s="30" t="str">
        <x:v>Python函数；Pydantic参数校验；单元测试</x:v>
      </x:c>
      <x:c r="K120" s="48" t="str">
        <x:v>DS042</x:v>
      </x:c>
      <x:c r="L120" s="48" t="str">
        <x:v>P2</x:v>
      </x:c>
      <x:c r="M120" s="48" t="str">
        <x:v>高</x:v>
      </x:c>
      <x:c r="N120" s="30" t="str">
        <x:v>路由标注集+离线Top-k命中率+高风险漏调用率</x:v>
      </x:c>
      <x:c r="O120" s="30" t="str">
        <x:v>所有仿真与优化工具必须返回收敛状态、约束违反、软件版本、运行日志和可复现实验清单</x:v>
      </x:c>
      <x:c r="P120" s="30" t="str">
        <x:v>score_model_route</x:v>
      </x:c>
    </x:row>
    <x:row r="121" ht="72" customHeight="1">
      <x:c r="A121" s="48" t="str">
        <x:v>G015</x:v>
      </x:c>
      <x:c r="B121" s="48" t="str">
        <x:v>仿真/优化/智能体支撑</x:v>
      </x:c>
      <x:c r="C121" s="30" t="str">
        <x:v>分布外/OOD检测</x:v>
      </x:c>
      <x:c r="D121" s="30" t="str">
        <x:v>分布外检测</x:v>
      </x:c>
      <x:c r="E121" s="30" t="str">
        <x:v>特征距离、孤立森林、共形预测/不确定度阈值</x:v>
      </x:c>
      <x:c r="F121" s="30" t="str">
        <x:v>当前样本、训练分布摘要</x:v>
      </x:c>
      <x:c r="G121" s="30" t="str">
        <x:v>OOD分数、拒答/人工确认建议</x:v>
      </x:c>
      <x:c r="H121" s="48" t="str">
        <x:v>是</x:v>
      </x:c>
      <x:c r="I121" s="30" t="str">
        <x:v>公开基础数据+项目数据字典</x:v>
      </x:c>
      <x:c r="J121" s="30" t="str">
        <x:v>Python函数；Pydantic参数校验；单元测试</x:v>
      </x:c>
      <x:c r="K121" s="48" t="str">
        <x:v>DS041,DS042</x:v>
      </x:c>
      <x:c r="L121" s="48" t="str">
        <x:v>P2</x:v>
      </x:c>
      <x:c r="M121" s="48" t="str">
        <x:v>高</x:v>
      </x:c>
      <x:c r="N121" s="30" t="str">
        <x:v>按时间/钢种/设备留出构造OOD测试</x:v>
      </x:c>
      <x:c r="O121" s="30" t="str">
        <x:v>所有仿真与优化工具必须返回收敛状态、约束违反、软件版本、运行日志和可复现实验清单</x:v>
      </x:c>
      <x:c r="P121" s="30" t="str">
        <x:v>detect_out_of_distribution</x:v>
      </x:c>
    </x:row>
  </x:sheetData>
  <x:conditionalFormatting sqref="L2:L121">
    <x:cfRule type="expression" dxfId="3" priority="1">
      <x:formula>L2="P0"</x:formula>
    </x:cfRule>
    <x:cfRule type="expression" dxfId="4" priority="2">
      <x:formula>L2="P1"</x:formula>
    </x:cfRule>
    <x:cfRule type="expression" dxfId="5" priority="3">
      <x:formula>L2="P2"</x:formula>
    </x:cfRule>
  </x:conditionalFormatting>
  <x:dataValidations count="3">
    <x:dataValidation type="list" sqref="L2:L121">
      <x:formula1>"P0,P1,P2"</x:formula1>
    </x:dataValidation>
    <x:dataValidation type="list" sqref="H2:H121">
      <x:formula1>"否,是,可选,在线"</x:formula1>
    </x:dataValidation>
    <x:dataValidation type="list" sqref="M2:M121">
      <x:formula1>"低,低-中,中,高"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5f4d05ad484b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18" hidden="0" customWidth="1"/>
    <x:col min="4" max="4" width="10" hidden="0" customWidth="1"/>
    <x:col min="5" max="5" width="34" hidden="0" customWidth="1"/>
    <x:col min="6" max="6" width="50" hidden="0" customWidth="1"/>
  </x:cols>
  <x:sheetData>
    <x:row r="1" ht="32" customHeight="1">
      <x:c r="A1" s="22" t="str">
        <x:v>表名</x:v>
      </x:c>
      <x:c r="B1" s="22" t="str">
        <x:v>字段名</x:v>
      </x:c>
      <x:c r="C1" s="22" t="str">
        <x:v>数据类型</x:v>
      </x:c>
      <x:c r="D1" s="22" t="str">
        <x:v>必填</x:v>
      </x:c>
      <x:c r="E1" s="22" t="str">
        <x:v>示例</x:v>
      </x:c>
      <x:c r="F1" s="22" t="str">
        <x:v>说明</x:v>
      </x:c>
    </x:row>
    <x:row r="2" ht="34" customHeight="1">
      <x:c r="A2" s="30" t="str">
        <x:v>dataset_registry</x:v>
      </x:c>
      <x:c r="B2" s="30" t="str">
        <x:v>dataset_id</x:v>
      </x:c>
      <x:c r="C2" s="48" t="str">
        <x:v>VARCHAR(64)</x:v>
      </x:c>
      <x:c r="D2" s="48" t="str">
        <x:v>是</x:v>
      </x:c>
      <x:c r="E2" s="30" t="str">
        <x:v>DS001</x:v>
      </x:c>
      <x:c r="F2" s="30" t="str">
        <x:v>数据集唯一标识</x:v>
      </x:c>
    </x:row>
    <x:row r="3" ht="34" customHeight="1">
      <x:c r="A3" s="30" t="str">
        <x:v>dataset_registry</x:v>
      </x:c>
      <x:c r="B3" s="30" t="str">
        <x:v>name</x:v>
      </x:c>
      <x:c r="C3" s="48" t="str">
        <x:v>VARCHAR(255)</x:v>
      </x:c>
      <x:c r="D3" s="48" t="str">
        <x:v>是</x:v>
      </x:c>
      <x:c r="E3" s="30" t="str">
        <x:v>NIST Chemistry WebBook</x:v>
      </x:c>
      <x:c r="F3" s="30" t="str">
        <x:v>数据集名称</x:v>
      </x:c>
    </x:row>
    <x:row r="4" ht="34" customHeight="1">
      <x:c r="A4" s="30" t="str">
        <x:v>dataset_registry</x:v>
      </x:c>
      <x:c r="B4" s="30" t="str">
        <x:v>category</x:v>
      </x:c>
      <x:c r="C4" s="48" t="str">
        <x:v>VARCHAR(64)</x:v>
      </x:c>
      <x:c r="D4" s="48" t="str">
        <x:v>是</x:v>
      </x:c>
      <x:c r="E4" s="30" t="str">
        <x:v>热化学/物性</x:v>
      </x:c>
      <x:c r="F4" s="30" t="str">
        <x:v>一级类别</x:v>
      </x:c>
    </x:row>
    <x:row r="5" ht="34" customHeight="1">
      <x:c r="A5" s="30" t="str">
        <x:v>dataset_registry</x:v>
      </x:c>
      <x:c r="B5" s="30" t="str">
        <x:v>provider</x:v>
      </x:c>
      <x:c r="C5" s="48" t="str">
        <x:v>VARCHAR(255)</x:v>
      </x:c>
      <x:c r="D5" s="48" t="str">
        <x:v>否</x:v>
      </x:c>
      <x:c r="E5" s="30" t="str">
        <x:v>NIST</x:v>
      </x:c>
      <x:c r="F5" s="30" t="str">
        <x:v>提供机构</x:v>
      </x:c>
    </x:row>
    <x:row r="6" ht="34" customHeight="1">
      <x:c r="A6" s="30" t="str">
        <x:v>dataset_registry</x:v>
      </x:c>
      <x:c r="B6" s="30" t="str">
        <x:v>license</x:v>
      </x:c>
      <x:c r="C6" s="48" t="str">
        <x:v>VARCHAR(255)</x:v>
      </x:c>
      <x:c r="D6" s="48" t="str">
        <x:v>是</x:v>
      </x:c>
      <x:c r="E6" s="30" t="str">
        <x:v>公开；按页面许可</x:v>
      </x:c>
      <x:c r="F6" s="30" t="str">
        <x:v>许可与再分发边界</x:v>
      </x:c>
    </x:row>
    <x:row r="7" ht="34" customHeight="1">
      <x:c r="A7" s="30" t="str">
        <x:v>dataset_registry</x:v>
      </x:c>
      <x:c r="B7" s="30" t="str">
        <x:v>access_url</x:v>
      </x:c>
      <x:c r="C7" s="48" t="str">
        <x:v>TEXT</x:v>
      </x:c>
      <x:c r="D7" s="48" t="str">
        <x:v>否</x:v>
      </x:c>
      <x:c r="E7" s="30" t="str">
        <x:v>https://...</x:v>
      </x:c>
      <x:c r="F7" s="30" t="str">
        <x:v>访问地址</x:v>
      </x:c>
    </x:row>
    <x:row r="8" ht="34" customHeight="1">
      <x:c r="A8" s="30" t="str">
        <x:v>dataset_registry</x:v>
      </x:c>
      <x:c r="B8" s="30" t="str">
        <x:v>ingestion_mode</x:v>
      </x:c>
      <x:c r="C8" s="48" t="str">
        <x:v>VARCHAR(64)</x:v>
      </x:c>
      <x:c r="D8" s="48" t="str">
        <x:v>是</x:v>
      </x:c>
      <x:c r="E8" s="30" t="str">
        <x:v>API/网页/内部DB</x:v>
      </x:c>
      <x:c r="F8" s="30" t="str">
        <x:v>接入方式</x:v>
      </x:c>
    </x:row>
    <x:row r="9" ht="34" customHeight="1">
      <x:c r="A9" s="30" t="str">
        <x:v>dataset_registry</x:v>
      </x:c>
      <x:c r="B9" s="30" t="str">
        <x:v>version</x:v>
      </x:c>
      <x:c r="C9" s="48" t="str">
        <x:v>VARCHAR(64)</x:v>
      </x:c>
      <x:c r="D9" s="48" t="str">
        <x:v>否</x:v>
      </x:c>
      <x:c r="E9" s="30" t="str">
        <x:v>2026-07</x:v>
      </x:c>
      <x:c r="F9" s="30" t="str">
        <x:v>数据版本</x:v>
      </x:c>
    </x:row>
    <x:row r="10" ht="34" customHeight="1">
      <x:c r="A10" s="30" t="str">
        <x:v>dataset_registry</x:v>
      </x:c>
      <x:c r="B10" s="30" t="str">
        <x:v>retrieved_at</x:v>
      </x:c>
      <x:c r="C10" s="48" t="str">
        <x:v>TIMESTAMP</x:v>
      </x:c>
      <x:c r="D10" s="48" t="str">
        <x:v>是</x:v>
      </x:c>
      <x:c r="E10" s="30" t="n">
        <x:v>46224.083333333336</x:v>
      </x:c>
      <x:c r="F10" s="30" t="str">
        <x:v>抓取/接收时间</x:v>
      </x:c>
    </x:row>
    <x:row r="11" ht="34" customHeight="1">
      <x:c r="A11" s="30" t="str">
        <x:v>dataset_registry</x:v>
      </x:c>
      <x:c r="B11" s="30" t="str">
        <x:v>checksum</x:v>
      </x:c>
      <x:c r="C11" s="48" t="str">
        <x:v>VARCHAR(128)</x:v>
      </x:c>
      <x:c r="D11" s="48" t="str">
        <x:v>否</x:v>
      </x:c>
      <x:c r="E11" s="30" t="str">
        <x:v>sha256:...</x:v>
      </x:c>
      <x:c r="F11" s="30" t="str">
        <x:v>文件完整性</x:v>
      </x:c>
    </x:row>
    <x:row r="12" ht="34" customHeight="1">
      <x:c r="A12" s="30" t="str">
        <x:v>dataset_registry</x:v>
      </x:c>
      <x:c r="B12" s="30" t="str">
        <x:v>owner</x:v>
      </x:c>
      <x:c r="C12" s="48" t="str">
        <x:v>VARCHAR(64)</x:v>
      </x:c>
      <x:c r="D12" s="48" t="str">
        <x:v>是</x:v>
      </x:c>
      <x:c r="E12" s="30" t="str">
        <x:v>数据组</x:v>
      </x:c>
      <x:c r="F12" s="30" t="str">
        <x:v>责任人/责任组</x:v>
      </x:c>
    </x:row>
    <x:row r="13" ht="34" customHeight="1">
      <x:c r="A13" s="30" t="str">
        <x:v>dataset_registry</x:v>
      </x:c>
      <x:c r="B13" s="30" t="str">
        <x:v>security_level</x:v>
      </x:c>
      <x:c r="C13" s="48" t="str">
        <x:v>VARCHAR(32)</x:v>
      </x:c>
      <x:c r="D13" s="48" t="str">
        <x:v>是</x:v>
      </x:c>
      <x:c r="E13" s="30" t="str">
        <x:v>公开/内部/受限</x:v>
      </x:c>
      <x:c r="F13" s="30" t="str">
        <x:v>访问分级</x:v>
      </x:c>
    </x:row>
    <x:row r="14" ht="34" customHeight="1">
      <x:c r="A14" s="30" t="str">
        <x:v>dataset_registry</x:v>
      </x:c>
      <x:c r="B14" s="30" t="str">
        <x:v>quality_grade</x:v>
      </x:c>
      <x:c r="C14" s="48" t="str">
        <x:v>VARCHAR(16)</x:v>
      </x:c>
      <x:c r="D14" s="48" t="str">
        <x:v>否</x:v>
      </x:c>
      <x:c r="E14" s="30" t="str">
        <x:v>A/B/C</x:v>
      </x:c>
      <x:c r="F14" s="30" t="str">
        <x:v>质量等级</x:v>
      </x:c>
    </x:row>
    <x:row r="15" ht="34" customHeight="1">
      <x:c r="A15" s="30" t="str">
        <x:v>dataset_registry</x:v>
      </x:c>
      <x:c r="B15" s="30" t="str">
        <x:v>lineage_json</x:v>
      </x:c>
      <x:c r="C15" s="48" t="str">
        <x:v>JSON</x:v>
      </x:c>
      <x:c r="D15" s="48" t="str">
        <x:v>否</x:v>
      </x:c>
      <x:c r="E15" s="30" t="str">
        <x:v>{source:...,transform:...}</x:v>
      </x:c>
      <x:c r="F15" s="30" t="str">
        <x:v>血缘与处理记录</x:v>
      </x:c>
    </x:row>
    <x:row r="16" ht="34" customHeight="1">
      <x:c r="A16" s="30" t="str">
        <x:v>knowledge_docs</x:v>
      </x:c>
      <x:c r="B16" s="30" t="str">
        <x:v>doc_id</x:v>
      </x:c>
      <x:c r="C16" s="48" t="str">
        <x:v>VARCHAR(64)</x:v>
      </x:c>
      <x:c r="D16" s="48" t="str">
        <x:v>是</x:v>
      </x:c>
      <x:c r="E16" s="30" t="str">
        <x:v>DOC000001</x:v>
      </x:c>
      <x:c r="F16" s="30" t="str">
        <x:v>文档唯一标识</x:v>
      </x:c>
    </x:row>
    <x:row r="17" ht="34" customHeight="1">
      <x:c r="A17" s="30" t="str">
        <x:v>knowledge_docs</x:v>
      </x:c>
      <x:c r="B17" s="30" t="str">
        <x:v>dataset_id</x:v>
      </x:c>
      <x:c r="C17" s="48" t="str">
        <x:v>VARCHAR(64)</x:v>
      </x:c>
      <x:c r="D17" s="48" t="str">
        <x:v>是</x:v>
      </x:c>
      <x:c r="E17" s="30" t="str">
        <x:v>DS020</x:v>
      </x:c>
      <x:c r="F17" s="30" t="str">
        <x:v>来源数据集</x:v>
      </x:c>
    </x:row>
    <x:row r="18" ht="34" customHeight="1">
      <x:c r="A18" s="30" t="str">
        <x:v>knowledge_docs</x:v>
      </x:c>
      <x:c r="B18" s="30" t="str">
        <x:v>title</x:v>
      </x:c>
      <x:c r="C18" s="48" t="str">
        <x:v>TEXT</x:v>
      </x:c>
      <x:c r="D18" s="48" t="str">
        <x:v>是</x:v>
      </x:c>
      <x:c r="E18" s="30" t="str">
        <x:v>标准/论文题名</x:v>
      </x:c>
      <x:c r="F18" s="30" t="str">
        <x:v>题名</x:v>
      </x:c>
    </x:row>
    <x:row r="19" ht="34" customHeight="1">
      <x:c r="A19" s="30" t="str">
        <x:v>knowledge_docs</x:v>
      </x:c>
      <x:c r="B19" s="30" t="str">
        <x:v>doc_type</x:v>
      </x:c>
      <x:c r="C19" s="48" t="str">
        <x:v>VARCHAR(32)</x:v>
      </x:c>
      <x:c r="D19" s="48" t="str">
        <x:v>是</x:v>
      </x:c>
      <x:c r="E19" s="30" t="str">
        <x:v>paper/standard/patent/manual</x:v>
      </x:c>
      <x:c r="F19" s="30" t="str">
        <x:v>文档类型</x:v>
      </x:c>
    </x:row>
    <x:row r="20" ht="34" customHeight="1">
      <x:c r="A20" s="30" t="str">
        <x:v>knowledge_docs</x:v>
      </x:c>
      <x:c r="B20" s="30" t="str">
        <x:v>doi_or_standard_no</x:v>
      </x:c>
      <x:c r="C20" s="48" t="str">
        <x:v>VARCHAR(128)</x:v>
      </x:c>
      <x:c r="D20" s="48" t="str">
        <x:v>否</x:v>
      </x:c>
      <x:c r="E20" s="30" t="str">
        <x:v>10.xxxx/...</x:v>
      </x:c>
      <x:c r="F20" s="30" t="str">
        <x:v>DOI/标准号/专利号</x:v>
      </x:c>
    </x:row>
    <x:row r="21" ht="34" customHeight="1">
      <x:c r="A21" s="30" t="str">
        <x:v>knowledge_docs</x:v>
      </x:c>
      <x:c r="B21" s="30" t="str">
        <x:v>publication_date</x:v>
      </x:c>
      <x:c r="C21" s="48" t="str">
        <x:v>DATE</x:v>
      </x:c>
      <x:c r="D21" s="48" t="str">
        <x:v>否</x:v>
      </x:c>
      <x:c r="E21" s="30" t="str">
        <x:v>2025-06-01</x:v>
      </x:c>
      <x:c r="F21" s="30" t="str">
        <x:v>发布日期</x:v>
      </x:c>
    </x:row>
    <x:row r="22" ht="34" customHeight="1">
      <x:c r="A22" s="30" t="str">
        <x:v>knowledge_docs</x:v>
      </x:c>
      <x:c r="B22" s="30" t="str">
        <x:v>license</x:v>
      </x:c>
      <x:c r="C22" s="48" t="str">
        <x:v>VARCHAR(255)</x:v>
      </x:c>
      <x:c r="D22" s="48" t="str">
        <x:v>是</x:v>
      </x:c>
      <x:c r="E22" s="30" t="str">
        <x:v>CC-BY-4.0</x:v>
      </x:c>
      <x:c r="F22" s="30" t="str">
        <x:v>文档许可</x:v>
      </x:c>
    </x:row>
    <x:row r="23" ht="34" customHeight="1">
      <x:c r="A23" s="30" t="str">
        <x:v>knowledge_docs</x:v>
      </x:c>
      <x:c r="B23" s="30" t="str">
        <x:v>content_uri</x:v>
      </x:c>
      <x:c r="C23" s="48" t="str">
        <x:v>TEXT</x:v>
      </x:c>
      <x:c r="D23" s="48" t="str">
        <x:v>否</x:v>
      </x:c>
      <x:c r="E23" s="30" t="str">
        <x:v>s3://...</x:v>
      </x:c>
      <x:c r="F23" s="30" t="str">
        <x:v>合法保存的正文/附件位置</x:v>
      </x:c>
    </x:row>
    <x:row r="24" ht="34" customHeight="1">
      <x:c r="A24" s="30" t="str">
        <x:v>knowledge_docs</x:v>
      </x:c>
      <x:c r="B24" s="30" t="str">
        <x:v>source_url</x:v>
      </x:c>
      <x:c r="C24" s="48" t="str">
        <x:v>TEXT</x:v>
      </x:c>
      <x:c r="D24" s="48" t="str">
        <x:v>是</x:v>
      </x:c>
      <x:c r="E24" s="30" t="str">
        <x:v>https://...</x:v>
      </x:c>
      <x:c r="F24" s="30" t="str">
        <x:v>原始页面</x:v>
      </x:c>
    </x:row>
    <x:row r="25" ht="34" customHeight="1">
      <x:c r="A25" s="30" t="str">
        <x:v>knowledge_docs</x:v>
      </x:c>
      <x:c r="B25" s="30" t="str">
        <x:v>language</x:v>
      </x:c>
      <x:c r="C25" s="48" t="str">
        <x:v>VARCHAR(16)</x:v>
      </x:c>
      <x:c r="D25" s="48" t="str">
        <x:v>是</x:v>
      </x:c>
      <x:c r="E25" s="30" t="str">
        <x:v>zh-CN/en</x:v>
      </x:c>
      <x:c r="F25" s="30" t="str">
        <x:v>语言</x:v>
      </x:c>
    </x:row>
    <x:row r="26" ht="34" customHeight="1">
      <x:c r="A26" s="30" t="str">
        <x:v>knowledge_docs</x:v>
      </x:c>
      <x:c r="B26" s="30" t="str">
        <x:v>chunk_policy_version</x:v>
      </x:c>
      <x:c r="C26" s="48" t="str">
        <x:v>VARCHAR(32)</x:v>
      </x:c>
      <x:c r="D26" s="48" t="str">
        <x:v>否</x:v>
      </x:c>
      <x:c r="E26" s="30" t="str">
        <x:v>chunk_v1</x:v>
      </x:c>
      <x:c r="F26" s="30" t="str">
        <x:v>切分策略版本</x:v>
      </x:c>
    </x:row>
    <x:row r="27" ht="34" customHeight="1">
      <x:c r="A27" s="30" t="str">
        <x:v>knowledge_docs</x:v>
      </x:c>
      <x:c r="B27" s="30" t="str">
        <x:v>embedding_model</x:v>
      </x:c>
      <x:c r="C27" s="48" t="str">
        <x:v>VARCHAR(128)</x:v>
      </x:c>
      <x:c r="D27" s="48" t="str">
        <x:v>否</x:v>
      </x:c>
      <x:c r="E27" s="30" t="str">
        <x:v>bge-m3</x:v>
      </x:c>
      <x:c r="F27" s="30" t="str">
        <x:v>向量模型</x:v>
      </x:c>
    </x:row>
    <x:row r="28" ht="34" customHeight="1">
      <x:c r="A28" s="30" t="str">
        <x:v>knowledge_docs</x:v>
      </x:c>
      <x:c r="B28" s="30" t="str">
        <x:v>citation_text</x:v>
      </x:c>
      <x:c r="C28" s="48" t="str">
        <x:v>TEXT</x:v>
      </x:c>
      <x:c r="D28" s="48" t="str">
        <x:v>否</x:v>
      </x:c>
      <x:c r="E28" s="30" t="str">
        <x:v>作者.题名...</x:v>
      </x:c>
      <x:c r="F28" s="30" t="str">
        <x:v>生成答案时的引用文本</x:v>
      </x:c>
    </x:row>
    <x:row r="29" ht="34" customHeight="1">
      <x:c r="A29" s="30" t="str">
        <x:v>model_registry</x:v>
      </x:c>
      <x:c r="B29" s="30" t="str">
        <x:v>model_id</x:v>
      </x:c>
      <x:c r="C29" s="48" t="str">
        <x:v>VARCHAR(32)</x:v>
      </x:c>
      <x:c r="D29" s="48" t="str">
        <x:v>是</x:v>
      </x:c>
      <x:c r="E29" s="30" t="str">
        <x:v>D008</x:v>
      </x:c>
      <x:c r="F29" s="30" t="str">
        <x:v>模型/工具ID</x:v>
      </x:c>
    </x:row>
    <x:row r="30" ht="34" customHeight="1">
      <x:c r="A30" s="30" t="str">
        <x:v>model_registry</x:v>
      </x:c>
      <x:c r="B30" s="30" t="str">
        <x:v>name</x:v>
      </x:c>
      <x:c r="C30" s="48" t="str">
        <x:v>VARCHAR(255)</x:v>
      </x:c>
      <x:c r="D30" s="48" t="str">
        <x:v>是</x:v>
      </x:c>
      <x:c r="E30" s="30" t="str">
        <x:v>终点碳预测</x:v>
      </x:c>
      <x:c r="F30" s="30" t="str">
        <x:v>名称</x:v>
      </x:c>
    </x:row>
    <x:row r="31" ht="34" customHeight="1">
      <x:c r="A31" s="30" t="str">
        <x:v>model_registry</x:v>
      </x:c>
      <x:c r="B31" s="30" t="str">
        <x:v>scenario</x:v>
      </x:c>
      <x:c r="C31" s="48" t="str">
        <x:v>VARCHAR(64)</x:v>
      </x:c>
      <x:c r="D31" s="48" t="str">
        <x:v>是</x:v>
      </x:c>
      <x:c r="E31" s="30" t="str">
        <x:v>转炉炼钢</x:v>
      </x:c>
      <x:c r="F31" s="30" t="str">
        <x:v>业务场景</x:v>
      </x:c>
    </x:row>
    <x:row r="32" ht="34" customHeight="1">
      <x:c r="A32" s="30" t="str">
        <x:v>model_registry</x:v>
      </x:c>
      <x:c r="B32" s="30" t="str">
        <x:v>model_type</x:v>
      </x:c>
      <x:c r="C32" s="48" t="str">
        <x:v>VARCHAR(64)</x:v>
      </x:c>
      <x:c r="D32" s="48" t="str">
        <x:v>是</x:v>
      </x:c>
      <x:c r="E32" s="30" t="str">
        <x:v>机器学习预测</x:v>
      </x:c>
      <x:c r="F32" s="30" t="str">
        <x:v>模型类型</x:v>
      </x:c>
    </x:row>
    <x:row r="33" ht="34" customHeight="1">
      <x:c r="A33" s="30" t="str">
        <x:v>model_registry</x:v>
      </x:c>
      <x:c r="B33" s="30" t="str">
        <x:v>api_name</x:v>
      </x:c>
      <x:c r="C33" s="48" t="str">
        <x:v>VARCHAR(128)</x:v>
      </x:c>
      <x:c r="D33" s="48" t="str">
        <x:v>是</x:v>
      </x:c>
      <x:c r="E33" s="30" t="str">
        <x:v>predict_bof_endpoint_carbon</x:v>
      </x:c>
      <x:c r="F33" s="30" t="str">
        <x:v>工具函数名</x:v>
      </x:c>
    </x:row>
    <x:row r="34" ht="34" customHeight="1">
      <x:c r="A34" s="30" t="str">
        <x:v>model_registry</x:v>
      </x:c>
      <x:c r="B34" s="30" t="str">
        <x:v>input_schema_json</x:v>
      </x:c>
      <x:c r="C34" s="48" t="str">
        <x:v>JSON</x:v>
      </x:c>
      <x:c r="D34" s="48" t="str">
        <x:v>是</x:v>
      </x:c>
      <x:c r="E34" s="30" t="str">
        <x:v>{...}</x:v>
      </x:c>
      <x:c r="F34" s="30" t="str">
        <x:v>输入参数定义、单位、范围、必填项</x:v>
      </x:c>
    </x:row>
    <x:row r="35" ht="34" customHeight="1">
      <x:c r="A35" s="30" t="str">
        <x:v>model_registry</x:v>
      </x:c>
      <x:c r="B35" s="30" t="str">
        <x:v>output_schema_json</x:v>
      </x:c>
      <x:c r="C35" s="48" t="str">
        <x:v>JSON</x:v>
      </x:c>
      <x:c r="D35" s="48" t="str">
        <x:v>是</x:v>
      </x:c>
      <x:c r="E35" s="30" t="str">
        <x:v>{...}</x:v>
      </x:c>
      <x:c r="F35" s="30" t="str">
        <x:v>输出字段、单位、置信度与状态码</x:v>
      </x:c>
    </x:row>
    <x:row r="36" ht="34" customHeight="1">
      <x:c r="A36" s="30" t="str">
        <x:v>model_registry</x:v>
      </x:c>
      <x:c r="B36" s="30" t="str">
        <x:v>applicable_boundary</x:v>
      </x:c>
      <x:c r="C36" s="48" t="str">
        <x:v>TEXT</x:v>
      </x:c>
      <x:c r="D36" s="48" t="str">
        <x:v>是</x:v>
      </x:c>
      <x:c r="E36" s="30" t="str">
        <x:v>炉型/钢种/温区...</x:v>
      </x:c>
      <x:c r="F36" s="30" t="str">
        <x:v>适用边界</x:v>
      </x:c>
    </x:row>
    <x:row r="37" ht="34" customHeight="1">
      <x:c r="A37" s="30" t="str">
        <x:v>model_registry</x:v>
      </x:c>
      <x:c r="B37" s="30" t="str">
        <x:v>validation_rules</x:v>
      </x:c>
      <x:c r="C37" s="48" t="str">
        <x:v>JSON</x:v>
      </x:c>
      <x:c r="D37" s="48" t="str">
        <x:v>是</x:v>
      </x:c>
      <x:c r="E37" s="30" t="str">
        <x:v>[...]</x:v>
      </x:c>
      <x:c r="F37" s="30" t="str">
        <x:v>调用前后规则校验</x:v>
      </x:c>
    </x:row>
    <x:row r="38" ht="34" customHeight="1">
      <x:c r="A38" s="30" t="str">
        <x:v>model_registry</x:v>
      </x:c>
      <x:c r="B38" s="30" t="str">
        <x:v>priority</x:v>
      </x:c>
      <x:c r="C38" s="48" t="str">
        <x:v>VARCHAR(8)</x:v>
      </x:c>
      <x:c r="D38" s="48" t="str">
        <x:v>是</x:v>
      </x:c>
      <x:c r="E38" s="30" t="str">
        <x:v>P0</x:v>
      </x:c>
      <x:c r="F38" s="30" t="str">
        <x:v>实施优先级</x:v>
      </x:c>
    </x:row>
    <x:row r="39" ht="34" customHeight="1">
      <x:c r="A39" s="30" t="str">
        <x:v>model_registry</x:v>
      </x:c>
      <x:c r="B39" s="30" t="str">
        <x:v>owner</x:v>
      </x:c>
      <x:c r="C39" s="48" t="str">
        <x:v>VARCHAR(64)</x:v>
      </x:c>
      <x:c r="D39" s="48" t="str">
        <x:v>是</x:v>
      </x:c>
      <x:c r="E39" s="30" t="str">
        <x:v>炼钢模型组</x:v>
      </x:c>
      <x:c r="F39" s="30" t="str">
        <x:v>责任人/组</x:v>
      </x:c>
    </x:row>
    <x:row r="40" ht="34" customHeight="1">
      <x:c r="A40" s="30" t="str">
        <x:v>model_registry</x:v>
      </x:c>
      <x:c r="B40" s="30" t="str">
        <x:v>status</x:v>
      </x:c>
      <x:c r="C40" s="48" t="str">
        <x:v>VARCHAR(32)</x:v>
      </x:c>
      <x:c r="D40" s="48" t="str">
        <x:v>是</x:v>
      </x:c>
      <x:c r="E40" s="30" t="str">
        <x:v>planned/dev/validated/deployed</x:v>
      </x:c>
      <x:c r="F40" s="30" t="str">
        <x:v>生命周期状态</x:v>
      </x:c>
    </x:row>
    <x:row r="41" ht="34" customHeight="1">
      <x:c r="A41" s="30" t="str">
        <x:v>model_versions</x:v>
      </x:c>
      <x:c r="B41" s="30" t="str">
        <x:v>model_id</x:v>
      </x:c>
      <x:c r="C41" s="48" t="str">
        <x:v>VARCHAR(32)</x:v>
      </x:c>
      <x:c r="D41" s="48" t="str">
        <x:v>是</x:v>
      </x:c>
      <x:c r="E41" s="30" t="str">
        <x:v>D008</x:v>
      </x:c>
      <x:c r="F41" s="30" t="str">
        <x:v>模型ID</x:v>
      </x:c>
    </x:row>
    <x:row r="42" ht="34" customHeight="1">
      <x:c r="A42" s="30" t="str">
        <x:v>model_versions</x:v>
      </x:c>
      <x:c r="B42" s="30" t="str">
        <x:v>version</x:v>
      </x:c>
      <x:c r="C42" s="48" t="str">
        <x:v>VARCHAR(64)</x:v>
      </x:c>
      <x:c r="D42" s="48" t="str">
        <x:v>是</x:v>
      </x:c>
      <x:c r="E42" s="30" t="str">
        <x:v>1.0.0</x:v>
      </x:c>
      <x:c r="F42" s="30" t="str">
        <x:v>语义版本</x:v>
      </x:c>
    </x:row>
    <x:row r="43" ht="34" customHeight="1">
      <x:c r="A43" s="30" t="str">
        <x:v>model_versions</x:v>
      </x:c>
      <x:c r="B43" s="30" t="str">
        <x:v>artifact_uri</x:v>
      </x:c>
      <x:c r="C43" s="48" t="str">
        <x:v>TEXT</x:v>
      </x:c>
      <x:c r="D43" s="48" t="str">
        <x:v>是</x:v>
      </x:c>
      <x:c r="E43" s="30" t="str">
        <x:v>mlflow://.../1</x:v>
      </x:c>
      <x:c r="F43" s="30" t="str">
        <x:v>代码/权重/容器地址</x:v>
      </x:c>
    </x:row>
    <x:row r="44" ht="34" customHeight="1">
      <x:c r="A44" s="30" t="str">
        <x:v>model_versions</x:v>
      </x:c>
      <x:c r="B44" s="30" t="str">
        <x:v>git_commit</x:v>
      </x:c>
      <x:c r="C44" s="48" t="str">
        <x:v>VARCHAR(64)</x:v>
      </x:c>
      <x:c r="D44" s="48" t="str">
        <x:v>否</x:v>
      </x:c>
      <x:c r="E44" s="30" t="str">
        <x:v>abcdef1</x:v>
      </x:c>
      <x:c r="F44" s="30" t="str">
        <x:v>代码提交</x:v>
      </x:c>
    </x:row>
    <x:row r="45" ht="34" customHeight="1">
      <x:c r="A45" s="30" t="str">
        <x:v>model_versions</x:v>
      </x:c>
      <x:c r="B45" s="30" t="str">
        <x:v>data_snapshot_id</x:v>
      </x:c>
      <x:c r="C45" s="48" t="str">
        <x:v>VARCHAR(64)</x:v>
      </x:c>
      <x:c r="D45" s="48" t="str">
        <x:v>否</x:v>
      </x:c>
      <x:c r="E45" s="30" t="str">
        <x:v>SNAP202607</x:v>
      </x:c>
      <x:c r="F45" s="30" t="str">
        <x:v>训练/标定数据快照</x:v>
      </x:c>
    </x:row>
    <x:row r="46" ht="34" customHeight="1">
      <x:c r="A46" s="30" t="str">
        <x:v>model_versions</x:v>
      </x:c>
      <x:c r="B46" s="30" t="str">
        <x:v>parameter_json</x:v>
      </x:c>
      <x:c r="C46" s="48" t="str">
        <x:v>JSON</x:v>
      </x:c>
      <x:c r="D46" s="48" t="str">
        <x:v>否</x:v>
      </x:c>
      <x:c r="E46" s="30" t="str">
        <x:v>{...}</x:v>
      </x:c>
      <x:c r="F46" s="30" t="str">
        <x:v>参数/超参数</x:v>
      </x:c>
    </x:row>
    <x:row r="47" ht="34" customHeight="1">
      <x:c r="A47" s="30" t="str">
        <x:v>model_versions</x:v>
      </x:c>
      <x:c r="B47" s="30" t="str">
        <x:v>dependency_lock</x:v>
      </x:c>
      <x:c r="C47" s="48" t="str">
        <x:v>TEXT</x:v>
      </x:c>
      <x:c r="D47" s="48" t="str">
        <x:v>是</x:v>
      </x:c>
      <x:c r="E47" s="30" t="str">
        <x:v>requirements.lock</x:v>
      </x:c>
      <x:c r="F47" s="30" t="str">
        <x:v>环境锁定</x:v>
      </x:c>
    </x:row>
    <x:row r="48" ht="34" customHeight="1">
      <x:c r="A48" s="30" t="str">
        <x:v>model_versions</x:v>
      </x:c>
      <x:c r="B48" s="30" t="str">
        <x:v>created_at</x:v>
      </x:c>
      <x:c r="C48" s="48" t="str">
        <x:v>TIMESTAMP</x:v>
      </x:c>
      <x:c r="D48" s="48" t="str">
        <x:v>是</x:v>
      </x:c>
      <x:c r="E48" s="30" t="n">
        <x:v>46224.083333333336</x:v>
      </x:c>
      <x:c r="F48" s="30" t="str">
        <x:v>创建时间</x:v>
      </x:c>
    </x:row>
    <x:row r="49" ht="34" customHeight="1">
      <x:c r="A49" s="30" t="str">
        <x:v>model_versions</x:v>
      </x:c>
      <x:c r="B49" s="30" t="str">
        <x:v>approved_by</x:v>
      </x:c>
      <x:c r="C49" s="48" t="str">
        <x:v>VARCHAR(64)</x:v>
      </x:c>
      <x:c r="D49" s="48" t="str">
        <x:v>否</x:v>
      </x:c>
      <x:c r="E49" s="30" t="str">
        <x:v>专家A</x:v>
      </x:c>
      <x:c r="F49" s="30" t="str">
        <x:v>审核人</x:v>
      </x:c>
    </x:row>
    <x:row r="50" ht="34" customHeight="1">
      <x:c r="A50" s="30" t="str">
        <x:v>model_versions</x:v>
      </x:c>
      <x:c r="B50" s="30" t="str">
        <x:v>release_notes</x:v>
      </x:c>
      <x:c r="C50" s="48" t="str">
        <x:v>TEXT</x:v>
      </x:c>
      <x:c r="D50" s="48" t="str">
        <x:v>否</x:v>
      </x:c>
      <x:c r="E50" s="30" t="str">
        <x:v>修正温度边界</x:v>
      </x:c>
      <x:c r="F50" s="30" t="str">
        <x:v>版本说明</x:v>
      </x:c>
    </x:row>
    <x:row r="51" ht="34" customHeight="1">
      <x:c r="A51" s="30" t="str">
        <x:v>invocation_logs</x:v>
      </x:c>
      <x:c r="B51" s="30" t="str">
        <x:v>trace_id</x:v>
      </x:c>
      <x:c r="C51" s="48" t="str">
        <x:v>VARCHAR(64)</x:v>
      </x:c>
      <x:c r="D51" s="48" t="str">
        <x:v>是</x:v>
      </x:c>
      <x:c r="E51" s="30" t="str">
        <x:v>TRACE...</x:v>
      </x:c>
      <x:c r="F51" s="30" t="str">
        <x:v>端到端任务追踪ID</x:v>
      </x:c>
    </x:row>
    <x:row r="52" ht="34" customHeight="1">
      <x:c r="A52" s="30" t="str">
        <x:v>invocation_logs</x:v>
      </x:c>
      <x:c r="B52" s="30" t="str">
        <x:v>call_id</x:v>
      </x:c>
      <x:c r="C52" s="48" t="str">
        <x:v>VARCHAR(64)</x:v>
      </x:c>
      <x:c r="D52" s="48" t="str">
        <x:v>是</x:v>
      </x:c>
      <x:c r="E52" s="30" t="str">
        <x:v>CALL...</x:v>
      </x:c>
      <x:c r="F52" s="30" t="str">
        <x:v>单次工具调用ID</x:v>
      </x:c>
    </x:row>
    <x:row r="53" ht="34" customHeight="1">
      <x:c r="A53" s="30" t="str">
        <x:v>invocation_logs</x:v>
      </x:c>
      <x:c r="B53" s="30" t="str">
        <x:v>model_id</x:v>
      </x:c>
      <x:c r="C53" s="48" t="str">
        <x:v>VARCHAR(32)</x:v>
      </x:c>
      <x:c r="D53" s="48" t="str">
        <x:v>是</x:v>
      </x:c>
      <x:c r="E53" s="30" t="str">
        <x:v>D008</x:v>
      </x:c>
      <x:c r="F53" s="30" t="str">
        <x:v>模型ID</x:v>
      </x:c>
    </x:row>
    <x:row r="54" ht="34" customHeight="1">
      <x:c r="A54" s="30" t="str">
        <x:v>invocation_logs</x:v>
      </x:c>
      <x:c r="B54" s="30" t="str">
        <x:v>model_version</x:v>
      </x:c>
      <x:c r="C54" s="48" t="str">
        <x:v>VARCHAR(64)</x:v>
      </x:c>
      <x:c r="D54" s="48" t="str">
        <x:v>是</x:v>
      </x:c>
      <x:c r="E54" s="30" t="str">
        <x:v>1.0.0</x:v>
      </x:c>
      <x:c r="F54" s="30" t="str">
        <x:v>版本</x:v>
      </x:c>
    </x:row>
    <x:row r="55" ht="34" customHeight="1">
      <x:c r="A55" s="30" t="str">
        <x:v>invocation_logs</x:v>
      </x:c>
      <x:c r="B55" s="30" t="str">
        <x:v>requested_at</x:v>
      </x:c>
      <x:c r="C55" s="48" t="str">
        <x:v>TIMESTAMP</x:v>
      </x:c>
      <x:c r="D55" s="48" t="str">
        <x:v>是</x:v>
      </x:c>
      <x:c r="E55" s="30" t="n">
        <x:v>46224.083333333336</x:v>
      </x:c>
      <x:c r="F55" s="30" t="str">
        <x:v>请求时间</x:v>
      </x:c>
    </x:row>
    <x:row r="56" ht="34" customHeight="1">
      <x:c r="A56" s="30" t="str">
        <x:v>invocation_logs</x:v>
      </x:c>
      <x:c r="B56" s="30" t="str">
        <x:v>input_json</x:v>
      </x:c>
      <x:c r="C56" s="48" t="str">
        <x:v>JSON</x:v>
      </x:c>
      <x:c r="D56" s="48" t="str">
        <x:v>是</x:v>
      </x:c>
      <x:c r="E56" s="30" t="str">
        <x:v>{...}</x:v>
      </x:c>
      <x:c r="F56" s="30" t="str">
        <x:v>标准化输入及单位</x:v>
      </x:c>
    </x:row>
    <x:row r="57" ht="34" customHeight="1">
      <x:c r="A57" s="30" t="str">
        <x:v>invocation_logs</x:v>
      </x:c>
      <x:c r="B57" s="30" t="str">
        <x:v>boundary_check</x:v>
      </x:c>
      <x:c r="C57" s="48" t="str">
        <x:v>JSON</x:v>
      </x:c>
      <x:c r="D57" s="48" t="str">
        <x:v>是</x:v>
      </x:c>
      <x:c r="E57" s="30" t="str">
        <x:v>{pass:true}</x:v>
      </x:c>
      <x:c r="F57" s="30" t="str">
        <x:v>边界校验结果</x:v>
      </x:c>
    </x:row>
    <x:row r="58" ht="34" customHeight="1">
      <x:c r="A58" s="30" t="str">
        <x:v>invocation_logs</x:v>
      </x:c>
      <x:c r="B58" s="30" t="str">
        <x:v>output_json</x:v>
      </x:c>
      <x:c r="C58" s="48" t="str">
        <x:v>JSON</x:v>
      </x:c>
      <x:c r="D58" s="48" t="str">
        <x:v>否</x:v>
      </x:c>
      <x:c r="E58" s="30" t="str">
        <x:v>{...}</x:v>
      </x:c>
      <x:c r="F58" s="30" t="str">
        <x:v>输出</x:v>
      </x:c>
    </x:row>
    <x:row r="59" ht="34" customHeight="1">
      <x:c r="A59" s="30" t="str">
        <x:v>invocation_logs</x:v>
      </x:c>
      <x:c r="B59" s="30" t="str">
        <x:v>confidence</x:v>
      </x:c>
      <x:c r="C59" s="48" t="str">
        <x:v>DECIMAL(8,6)</x:v>
      </x:c>
      <x:c r="D59" s="48" t="str">
        <x:v>否</x:v>
      </x:c>
      <x:c r="E59" s="30" t="str">
        <x:v>0.92</x:v>
      </x:c>
      <x:c r="F59" s="30" t="str">
        <x:v>置信度/可信度</x:v>
      </x:c>
    </x:row>
    <x:row r="60" ht="34" customHeight="1">
      <x:c r="A60" s="30" t="str">
        <x:v>invocation_logs</x:v>
      </x:c>
      <x:c r="B60" s="30" t="str">
        <x:v>validation_result</x:v>
      </x:c>
      <x:c r="C60" s="48" t="str">
        <x:v>JSON</x:v>
      </x:c>
      <x:c r="D60" s="48" t="str">
        <x:v>否</x:v>
      </x:c>
      <x:c r="E60" s="30" t="str">
        <x:v>{...}</x:v>
      </x:c>
      <x:c r="F60" s="30" t="str">
        <x:v>规则/专家校验结果</x:v>
      </x:c>
    </x:row>
    <x:row r="61" ht="34" customHeight="1">
      <x:c r="A61" s="30" t="str">
        <x:v>invocation_logs</x:v>
      </x:c>
      <x:c r="B61" s="30" t="str">
        <x:v>runtime_ms</x:v>
      </x:c>
      <x:c r="C61" s="48" t="str">
        <x:v>INTEGER</x:v>
      </x:c>
      <x:c r="D61" s="48" t="str">
        <x:v>否</x:v>
      </x:c>
      <x:c r="E61" s="30" t="str">
        <x:v>35</x:v>
      </x:c>
      <x:c r="F61" s="30" t="str">
        <x:v>耗时</x:v>
      </x:c>
    </x:row>
    <x:row r="62" ht="34" customHeight="1">
      <x:c r="A62" s="30" t="str">
        <x:v>invocation_logs</x:v>
      </x:c>
      <x:c r="B62" s="30" t="str">
        <x:v>status</x:v>
      </x:c>
      <x:c r="C62" s="48" t="str">
        <x:v>VARCHAR(32)</x:v>
      </x:c>
      <x:c r="D62" s="48" t="str">
        <x:v>是</x:v>
      </x:c>
      <x:c r="E62" s="30" t="str">
        <x:v>success/rejected/error</x:v>
      </x:c>
      <x:c r="F62" s="30" t="str">
        <x:v>调用状态</x:v>
      </x:c>
    </x:row>
    <x:row r="63" ht="34" customHeight="1">
      <x:c r="A63" s="30" t="str">
        <x:v>invocation_logs</x:v>
      </x:c>
      <x:c r="B63" s="30" t="str">
        <x:v>error_code</x:v>
      </x:c>
      <x:c r="C63" s="48" t="str">
        <x:v>VARCHAR(64)</x:v>
      </x:c>
      <x:c r="D63" s="48" t="str">
        <x:v>否</x:v>
      </x:c>
      <x:c r="E63" s="30" t="str">
        <x:v>OUT_OF_RANGE</x:v>
      </x:c>
      <x:c r="F63" s="30" t="str">
        <x:v>错误码</x:v>
      </x:c>
    </x:row>
    <x:row r="64" ht="34" customHeight="1">
      <x:c r="A64" s="30" t="str">
        <x:v>invocation_logs</x:v>
      </x:c>
      <x:c r="B64" s="30" t="str">
        <x:v>user_or_agent</x:v>
      </x:c>
      <x:c r="C64" s="48" t="str">
        <x:v>VARCHAR(128)</x:v>
      </x:c>
      <x:c r="D64" s="48" t="str">
        <x:v>是</x:v>
      </x:c>
      <x:c r="E64" s="30" t="str">
        <x:v>agent_router</x:v>
      </x:c>
      <x:c r="F64" s="30" t="str">
        <x:v>调用主体</x:v>
      </x:c>
    </x:row>
    <x:row r="65" ht="34" customHeight="1">
      <x:c r="A65" s="30" t="str">
        <x:v>benchmark_cases</x:v>
      </x:c>
      <x:c r="B65" s="30" t="str">
        <x:v>case_id</x:v>
      </x:c>
      <x:c r="C65" s="48" t="str">
        <x:v>VARCHAR(64)</x:v>
      </x:c>
      <x:c r="D65" s="48" t="str">
        <x:v>是</x:v>
      </x:c>
      <x:c r="E65" s="30" t="str">
        <x:v>CASE_B008_001</x:v>
      </x:c>
      <x:c r="F65" s="30" t="str">
        <x:v>测试用例</x:v>
      </x:c>
    </x:row>
    <x:row r="66" ht="34" customHeight="1">
      <x:c r="A66" s="30" t="str">
        <x:v>benchmark_cases</x:v>
      </x:c>
      <x:c r="B66" s="30" t="str">
        <x:v>model_id</x:v>
      </x:c>
      <x:c r="C66" s="48" t="str">
        <x:v>VARCHAR(32)</x:v>
      </x:c>
      <x:c r="D66" s="48" t="str">
        <x:v>是</x:v>
      </x:c>
      <x:c r="E66" s="30" t="str">
        <x:v>B008</x:v>
      </x:c>
      <x:c r="F66" s="30" t="str">
        <x:v>被测模型</x:v>
      </x:c>
    </x:row>
    <x:row r="67" ht="34" customHeight="1">
      <x:c r="A67" s="30" t="str">
        <x:v>benchmark_cases</x:v>
      </x:c>
      <x:c r="B67" s="30" t="str">
        <x:v>case_type</x:v>
      </x:c>
      <x:c r="C67" s="48" t="str">
        <x:v>VARCHAR(32)</x:v>
      </x:c>
      <x:c r="D67" s="48" t="str">
        <x:v>是</x:v>
      </x:c>
      <x:c r="E67" s="30" t="str">
        <x:v>unit/regression/OOD/safety</x:v>
      </x:c>
      <x:c r="F67" s="30" t="str">
        <x:v>用例类型</x:v>
      </x:c>
    </x:row>
    <x:row r="68" ht="34" customHeight="1">
      <x:c r="A68" s="30" t="str">
        <x:v>benchmark_cases</x:v>
      </x:c>
      <x:c r="B68" s="30" t="str">
        <x:v>input_json</x:v>
      </x:c>
      <x:c r="C68" s="48" t="str">
        <x:v>JSON</x:v>
      </x:c>
      <x:c r="D68" s="48" t="str">
        <x:v>是</x:v>
      </x:c>
      <x:c r="E68" s="30" t="str">
        <x:v>{...}</x:v>
      </x:c>
      <x:c r="F68" s="30" t="str">
        <x:v>输入</x:v>
      </x:c>
    </x:row>
    <x:row r="69" ht="34" customHeight="1">
      <x:c r="A69" s="30" t="str">
        <x:v>benchmark_cases</x:v>
      </x:c>
      <x:c r="B69" s="30" t="str">
        <x:v>expected_json</x:v>
      </x:c>
      <x:c r="C69" s="48" t="str">
        <x:v>JSON</x:v>
      </x:c>
      <x:c r="D69" s="48" t="str">
        <x:v>否</x:v>
      </x:c>
      <x:c r="E69" s="30" t="str">
        <x:v>{...}</x:v>
      </x:c>
      <x:c r="F69" s="30" t="str">
        <x:v>期望输出/范围</x:v>
      </x:c>
    </x:row>
    <x:row r="70" ht="34" customHeight="1">
      <x:c r="A70" s="30" t="str">
        <x:v>benchmark_cases</x:v>
      </x:c>
      <x:c r="B70" s="30" t="str">
        <x:v>reference_source</x:v>
      </x:c>
      <x:c r="C70" s="48" t="str">
        <x:v>TEXT</x:v>
      </x:c>
      <x:c r="D70" s="48" t="str">
        <x:v>是</x:v>
      </x:c>
      <x:c r="E70" s="30" t="str">
        <x:v>NIST-JANAF</x:v>
      </x:c>
      <x:c r="F70" s="30" t="str">
        <x:v>权威参考</x:v>
      </x:c>
    </x:row>
    <x:row r="71" ht="34" customHeight="1">
      <x:c r="A71" s="30" t="str">
        <x:v>benchmark_cases</x:v>
      </x:c>
      <x:c r="B71" s="30" t="str">
        <x:v>tolerance_json</x:v>
      </x:c>
      <x:c r="C71" s="48" t="str">
        <x:v>JSON</x:v>
      </x:c>
      <x:c r="D71" s="48" t="str">
        <x:v>否</x:v>
      </x:c>
      <x:c r="E71" s="30" t="str">
        <x:v>{abs:...,rel:...}</x:v>
      </x:c>
      <x:c r="F71" s="30" t="str">
        <x:v>容差</x:v>
      </x:c>
    </x:row>
    <x:row r="72" ht="34" customHeight="1">
      <x:c r="A72" s="30" t="str">
        <x:v>benchmark_cases</x:v>
      </x:c>
      <x:c r="B72" s="30" t="str">
        <x:v>expert_label</x:v>
      </x:c>
      <x:c r="C72" s="48" t="str">
        <x:v>TEXT</x:v>
      </x:c>
      <x:c r="D72" s="48" t="str">
        <x:v>否</x:v>
      </x:c>
      <x:c r="E72" s="30" t="str">
        <x:v>通过</x:v>
      </x:c>
      <x:c r="F72" s="30" t="str">
        <x:v>专家结论</x:v>
      </x:c>
    </x:row>
    <x:row r="73" ht="34" customHeight="1">
      <x:c r="A73" s="30" t="str">
        <x:v>benchmark_cases</x:v>
      </x:c>
      <x:c r="B73" s="30" t="str">
        <x:v>created_at</x:v>
      </x:c>
      <x:c r="C73" s="48" t="str">
        <x:v>TIMESTAMP</x:v>
      </x:c>
      <x:c r="D73" s="48" t="str">
        <x:v>是</x:v>
      </x:c>
      <x:c r="E73" s="30" t="n">
        <x:v>46224.083333333336</x:v>
      </x:c>
      <x:c r="F73" s="30" t="str">
        <x:v>创建时间</x:v>
      </x:c>
    </x:row>
    <x:row r="74" ht="34" customHeight="1">
      <x:c r="A74" s="30" t="str">
        <x:v>model_metrics</x:v>
      </x:c>
      <x:c r="B74" s="30" t="str">
        <x:v>evaluation_id</x:v>
      </x:c>
      <x:c r="C74" s="48" t="str">
        <x:v>VARCHAR(64)</x:v>
      </x:c>
      <x:c r="D74" s="48" t="str">
        <x:v>是</x:v>
      </x:c>
      <x:c r="E74" s="30" t="str">
        <x:v>EVAL...</x:v>
      </x:c>
      <x:c r="F74" s="30" t="str">
        <x:v>评测批次</x:v>
      </x:c>
    </x:row>
    <x:row r="75" ht="34" customHeight="1">
      <x:c r="A75" s="30" t="str">
        <x:v>model_metrics</x:v>
      </x:c>
      <x:c r="B75" s="30" t="str">
        <x:v>model_id</x:v>
      </x:c>
      <x:c r="C75" s="48" t="str">
        <x:v>VARCHAR(32)</x:v>
      </x:c>
      <x:c r="D75" s="48" t="str">
        <x:v>是</x:v>
      </x:c>
      <x:c r="E75" s="30" t="str">
        <x:v>D008</x:v>
      </x:c>
      <x:c r="F75" s="30" t="str">
        <x:v>模型ID</x:v>
      </x:c>
    </x:row>
    <x:row r="76" ht="34" customHeight="1">
      <x:c r="A76" s="30" t="str">
        <x:v>model_metrics</x:v>
      </x:c>
      <x:c r="B76" s="30" t="str">
        <x:v>model_version</x:v>
      </x:c>
      <x:c r="C76" s="48" t="str">
        <x:v>VARCHAR(64)</x:v>
      </x:c>
      <x:c r="D76" s="48" t="str">
        <x:v>是</x:v>
      </x:c>
      <x:c r="E76" s="30" t="str">
        <x:v>1.0.0</x:v>
      </x:c>
      <x:c r="F76" s="30" t="str">
        <x:v>版本</x:v>
      </x:c>
    </x:row>
    <x:row r="77" ht="34" customHeight="1">
      <x:c r="A77" s="30" t="str">
        <x:v>model_metrics</x:v>
      </x:c>
      <x:c r="B77" s="30" t="str">
        <x:v>dataset_snapshot_id</x:v>
      </x:c>
      <x:c r="C77" s="48" t="str">
        <x:v>VARCHAR(64)</x:v>
      </x:c>
      <x:c r="D77" s="48" t="str">
        <x:v>是</x:v>
      </x:c>
      <x:c r="E77" s="30" t="str">
        <x:v>SNAP...</x:v>
      </x:c>
      <x:c r="F77" s="30" t="str">
        <x:v>评测数据快照</x:v>
      </x:c>
    </x:row>
    <x:row r="78" ht="34" customHeight="1">
      <x:c r="A78" s="30" t="str">
        <x:v>model_metrics</x:v>
      </x:c>
      <x:c r="B78" s="30" t="str">
        <x:v>metric_name</x:v>
      </x:c>
      <x:c r="C78" s="48" t="str">
        <x:v>VARCHAR(64)</x:v>
      </x:c>
      <x:c r="D78" s="48" t="str">
        <x:v>是</x:v>
      </x:c>
      <x:c r="E78" s="30" t="str">
        <x:v>MAE</x:v>
      </x:c>
      <x:c r="F78" s="30" t="str">
        <x:v>指标</x:v>
      </x:c>
    </x:row>
    <x:row r="79" ht="34" customHeight="1">
      <x:c r="A79" s="30" t="str">
        <x:v>model_metrics</x:v>
      </x:c>
      <x:c r="B79" s="30" t="str">
        <x:v>metric_value</x:v>
      </x:c>
      <x:c r="C79" s="48" t="str">
        <x:v>DECIMAL(18,8)</x:v>
      </x:c>
      <x:c r="D79" s="48" t="str">
        <x:v>是</x:v>
      </x:c>
      <x:c r="E79" s="30" t="str">
        <x:v>0.012</x:v>
      </x:c>
      <x:c r="F79" s="30" t="str">
        <x:v>指标值</x:v>
      </x:c>
    </x:row>
    <x:row r="80" ht="34" customHeight="1">
      <x:c r="A80" s="30" t="str">
        <x:v>model_metrics</x:v>
      </x:c>
      <x:c r="B80" s="30" t="str">
        <x:v>slice_json</x:v>
      </x:c>
      <x:c r="C80" s="48" t="str">
        <x:v>JSON</x:v>
      </x:c>
      <x:c r="D80" s="48" t="str">
        <x:v>否</x:v>
      </x:c>
      <x:c r="E80" s="30" t="str">
        <x:v>{steel_grade:...}</x:v>
      </x:c>
      <x:c r="F80" s="30" t="str">
        <x:v>分层切片</x:v>
      </x:c>
    </x:row>
    <x:row r="81" ht="34" customHeight="1">
      <x:c r="A81" s="30" t="str">
        <x:v>model_metrics</x:v>
      </x:c>
      <x:c r="B81" s="30" t="str">
        <x:v>passed</x:v>
      </x:c>
      <x:c r="C81" s="48" t="str">
        <x:v>BOOLEAN</x:v>
      </x:c>
      <x:c r="D81" s="48" t="str">
        <x:v>是</x:v>
      </x:c>
      <x:c r="E81" s="30" t="str">
        <x:v>true</x:v>
      </x:c>
      <x:c r="F81" s="30" t="str">
        <x:v>是否达标</x:v>
      </x:c>
    </x:row>
    <x:row r="82" ht="34" customHeight="1">
      <x:c r="A82" s="30" t="str">
        <x:v>model_metrics</x:v>
      </x:c>
      <x:c r="B82" s="30" t="str">
        <x:v>evaluated_at</x:v>
      </x:c>
      <x:c r="C82" s="48" t="str">
        <x:v>TIMESTAMP</x:v>
      </x:c>
      <x:c r="D82" s="48" t="str">
        <x:v>是</x:v>
      </x:c>
      <x:c r="E82" s="30" t="n">
        <x:v>46224.083333333336</x:v>
      </x:c>
      <x:c r="F82" s="30" t="str">
        <x:v>评测时间</x:v>
      </x:c>
    </x:row>
  </x:sheetData>
  <x:pageMargins left="0.7" right="0.7" top="0.75" bottom="0.75" header="0.3" footer="0.3"/>
  <x:tableParts count="1">
    <x:tablePart xmlns:r="http://schemas.openxmlformats.org/officeDocument/2006/relationships" r:id="R4608217042884a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6" hidden="0" customWidth="1"/>
    <x:col min="4" max="4" width="48" hidden="0" customWidth="1"/>
    <x:col min="5" max="5" width="36" hidden="0" customWidth="1"/>
    <x:col min="6" max="6" width="44" hidden="0" customWidth="1"/>
    <x:col min="7" max="7" width="42" hidden="0" customWidth="1"/>
  </x:cols>
  <x:sheetData>
    <x:row r="1" ht="34" customHeight="1">
      <x:c r="A1" s="22" t="str">
        <x:v>样板</x:v>
      </x:c>
      <x:c r="B1" s="22" t="str">
        <x:v>场景</x:v>
      </x:c>
      <x:c r="C1" s="22" t="str">
        <x:v>输入</x:v>
      </x:c>
      <x:c r="D1" s="22" t="str">
        <x:v>建议调用链</x:v>
      </x:c>
      <x:c r="E1" s="22" t="str">
        <x:v>输出</x:v>
      </x:c>
      <x:c r="F1" s="22" t="str">
        <x:v>关键校验</x:v>
      </x:c>
      <x:c r="G1" s="22" t="str">
        <x:v>最小实施范围</x:v>
      </x:c>
    </x:row>
    <x:row r="2" ht="90" customHeight="1">
      <x:c r="A2" s="48" t="str">
        <x:v>样板1</x:v>
      </x:c>
      <x:c r="B2" s="48" t="str">
        <x:v>热力学推理</x:v>
      </x:c>
      <x:c r="C2" s="30" t="str">
        <x:v>用户给出反应/体系、温度、压力、组成</x:v>
      </x:c>
      <x:c r="D2" s="30" t="str">
        <x:v>A002→A003→B006/B007/B008→B009；复杂相平衡走B023；最后B025校验</x:v>
      </x:c>
      <x:c r="E2" s="30" t="str">
        <x:v>ΔH/ΔS/ΔG/K、平衡相、数据来源、规则校验</x:v>
      </x:c>
      <x:c r="F2" s="30" t="str">
        <x:v>元素/电荷守恒；温度/相态边界；数据库和软件版本；Gibbs最小</x:v>
      </x:c>
      <x:c r="G2" s="30" t="str">
        <x:v>P0先做A002/A003/B001-B009；P2再接CALPHAD</x:v>
      </x:c>
    </x:row>
    <x:row r="3" ht="90" customHeight="1">
      <x:c r="A3" s="48" t="str">
        <x:v>样板2</x:v>
      </x:c>
      <x:c r="B3" s="48" t="str">
        <x:v>转炉炼钢优化</x:v>
      </x:c>
      <x:c r="C3" s="30" t="str">
        <x:v>铁水/废钢/熔剂、目标钢种、供氧与过程信号</x:v>
      </x:c>
      <x:c r="D3" s="30" t="str">
        <x:v>D001→D002→D003→D004；历史数据成熟后D008/D009；优化走D018-D020</x:v>
      </x:c>
      <x:c r="E3" s="30" t="str">
        <x:v>耗氧、熔剂、终点C/T预测、吹氧/配料建议</x:v>
      </x:c>
      <x:c r="F3" s="30" t="str">
        <x:v>元素与热量闭合；设备约束；训练分布/OOD；人工确认</x:v>
      </x:c>
      <x:c r="G3" s="30" t="str">
        <x:v>P0做静态平衡4工具；P1接终点预测和分配比</x:v>
      </x:c>
    </x:row>
    <x:row r="4" ht="90" customHeight="1">
      <x:c r="A4" s="48" t="str">
        <x:v>样板3</x:v>
      </x:c>
      <x:c r="B4" s="48" t="str">
        <x:v>高炉低碳运行</x:v>
      </x:c>
      <x:c r="C4" s="30" t="str">
        <x:v>炉料、风温、富氧、喷煤、顶煤气、产量与能源</x:v>
      </x:c>
      <x:c r="D4" s="30" t="str">
        <x:v>E001→E002→E003→E004→E006/E007；碳核算E020</x:v>
      </x:c>
      <x:c r="E4" s="30" t="str">
        <x:v>Rist线、焦比/喷煤替代、热效率、tCO2e/tHM</x:v>
      </x:c>
      <x:c r="F4" s="30" t="str">
        <x:v>C/O/Fe/H守恒；统计周期；排放因子版本；炉况边界</x:v>
      </x:c>
      <x:c r="G4" s="30" t="str">
        <x:v>P0先做四大平衡；P1接Rist和热平衡</x:v>
      </x:c>
    </x:row>
    <x:row r="5" ht="90" customHeight="1">
      <x:c r="A5" s="48" t="str">
        <x:v>样板4</x:v>
      </x:c>
      <x:c r="B5" s="48" t="str">
        <x:v>连铸质量与二冷</x:v>
      </x:c>
      <x:c r="C5" s="30" t="str">
        <x:v>钢种成分、浇注温度、断面、拉速、水量、热电偶</x:v>
      </x:c>
      <x:c r="D5" s="30" t="str">
        <x:v>F001→F002→F003→F004；再接F005/F006/F008/F009；风险F012</x:v>
      </x:c>
      <x:c r="E5" s="30" t="str">
        <x:v>液固相线、过热度、固相率、坯壳/终凝、水量和风险</x:v>
      </x:c>
      <x:c r="F5" s="30" t="str">
        <x:v>物性和钢种边界；能量闭合；设备/喷嘴映射；报警阈值</x:v>
      </x:c>
      <x:c r="G5" s="30" t="str">
        <x:v>P0做液/固相线、过热度、固相率；P1做传热与水量</x:v>
      </x:c>
    </x:row>
    <x:row r="6" ht="90" customHeight="1">
      <x:c r="A6" s="48" t="str">
        <x:v>样板5</x:v>
      </x:c>
      <x:c r="B6" s="48" t="str">
        <x:v>对话式仿真与工单</x:v>
      </x:c>
      <x:c r="C6" s="30" t="str">
        <x:v>自然语言目标、几何/工况、资源限制、工单上下文</x:v>
      </x:c>
      <x:c r="D6" s="30" t="str">
        <x:v>G014路由→G013校验→G001/G002→G005/G006→G008/G009→报告/工单</x:v>
      </x:c>
      <x:c r="E6" s="30" t="str">
        <x:v>可运行案例、运行日志、结果摘要、敏感性、工单记录</x:v>
      </x:c>
      <x:c r="F6" s="30" t="str">
        <x:v>参数完整度；网格/CFL；收敛；版本/容器；失败回退</x:v>
      </x:c>
      <x:c r="G6" s="30" t="str">
        <x:v>先实现参数模板、规则校验、案例生成和日志，不先做全自动CFD</x:v>
      </x:c>
    </x:row>
  </x:sheetData>
  <x:pageMargins left="0.7" right="0.7" top="0.75" bottom="0.75" header="0.3" footer="0.3"/>
  <x:tableParts count="1">
    <x:tablePart xmlns:r="http://schemas.openxmlformats.org/officeDocument/2006/relationships" r:id="R1c6c258a5cde4510"/>
  </x:tableParts>
</x:worksheet>
</file>