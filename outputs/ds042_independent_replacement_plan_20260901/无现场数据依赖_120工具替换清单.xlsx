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034354c2d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e4b119dcd6514a5a"/>
    <x:sheet xmlns:r="http://schemas.openxmlformats.org/officeDocument/2006/relationships" name="延期项20" sheetId="2" r:id="R9d1b3c690f7046d2"/>
    <x:sheet xmlns:r="http://schemas.openxmlformats.org/officeDocument/2006/relationships" name="后续保留17" sheetId="3" r:id="Re38b9a8665a549b6"/>
    <x:sheet xmlns:r="http://schemas.openxmlformats.org/officeDocument/2006/relationships" name="新增替换14" sheetId="4" r:id="Rbca693d69f854281"/>
    <x:sheet xmlns:r="http://schemas.openxmlformats.org/officeDocument/2006/relationships" name="最终120路线" sheetId="5" r:id="Rbeefa90f7720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5E59"/>
      <x:name val="Carlito"/>
    </x:font>
    <x:font>
      <x:sz val="11"/>
      <x:color rgb="FF1D2939"/>
      <x:name val="Carlito"/>
    </x:font>
    <x:font>
      <x:b/>
      <x:sz val="11"/>
      <x:color rgb="FF15803D"/>
      <x:name val="Carlito"/>
    </x:font>
    <x:font>
      <x:b/>
      <x:sz val="11"/>
      <x:color rgb="FFB45309"/>
      <x:name val="Carlito"/>
    </x:font>
    <x:font>
      <x:sz val="11"/>
      <x:color rgb="FF15803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5E59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F2F4F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</x:fills>
  <x:borders count="2">
    <x:border/>
    <x:border>
      <x:bottom style="thin">
        <x:color rgb="FFD0D5DD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B91C1C"/>
      </x:font>
      <x:fill>
        <x:patternFill>
          <x:bgColor rgb="FFFEE2E2"/>
        </x:patternFill>
      </x:fill>
    </x:dxf>
    <x:dxf>
      <x:font>
        <x:color rgb="FF15803D"/>
      </x:font>
      <x:fill>
        <x:patternFill>
          <x:bgColor rgb="FFDCFCE7"/>
        </x:patternFill>
      </x:fill>
    </x:dxf>
    <x:dxf>
      <x:font>
        <x:color rgb="FF15803D"/>
      </x:font>
      <x:fill>
        <x:patternFill>
          <x:bgColor rgb="FFDCFCE7"/>
        </x:patternFill>
      </x:fill>
    </x:dxf>
    <x:dxf>
      <x:font>
        <x:color rgb="FF15803D"/>
      </x:font>
      <x:fill>
        <x:patternFill>
          <x:bgColor rgb="FFDCFCE7"/>
        </x:patternFill>
      </x:fill>
    </x:dxf>
    <x:dxf>
      <x:font>
        <x:color rgb="FF1D4ED8"/>
      </x:font>
      <x:fill>
        <x:patternFill>
          <x:bgColor rgb="FFDBEAFE"/>
        </x:patternFill>
      </x:fill>
    </x:dxf>
    <x:dxf>
      <x:font>
        <x:color rgb="FFB45309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874d662634c89" /><Relationship Type="http://schemas.openxmlformats.org/officeDocument/2006/relationships/theme" Target="/xl/theme/theme1.xml" Id="Ra7bf2b16ef2c4e68" /><Relationship Type="http://schemas.openxmlformats.org/officeDocument/2006/relationships/sharedStrings" Target="/xl/sharedStrings.xml" Id="R140905fab066491e" /><Relationship Type="http://schemas.openxmlformats.org/officeDocument/2006/relationships/worksheet" Target="/xl/worksheets/sheet1.xml" Id="Re4b119dcd6514a5a" /><Relationship Type="http://schemas.openxmlformats.org/officeDocument/2006/relationships/worksheet" Target="/xl/worksheets/sheet2.xml" Id="R9d1b3c690f7046d2" /><Relationship Type="http://schemas.openxmlformats.org/officeDocument/2006/relationships/worksheet" Target="/xl/worksheets/sheet3.xml" Id="Re38b9a8665a549b6" /><Relationship Type="http://schemas.openxmlformats.org/officeDocument/2006/relationships/worksheet" Target="/xl/worksheets/sheet4.xml" Id="Rbca693d69f854281" /><Relationship Type="http://schemas.openxmlformats.org/officeDocument/2006/relationships/worksheet" Target="/xl/worksheets/sheet5.xml" Id="Rbeefa90f772043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无现场数据依赖的120项冶金工具替换清单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8" t="str">
        <x:v>基线：main @ 2028237；P1-W14新增4项后已实现101项，既有97项实现保持原样。</x:v>
      </x:c>
      <x:c r="B3" s="8"/>
      <x:c r="C3" s="8"/>
      <x:c r="D3" s="8"/>
      <x:c r="E3" s="8"/>
      <x:c r="F3" s="8"/>
      <x:c r="G3" s="8"/>
      <x:c r="H3" s="8"/>
    </x:row>
    <x:row r="5">
      <x:c r="A5" s="13" t="str">
        <x:v>指标</x:v>
      </x:c>
      <x:c r="B5" s="13" t="str">
        <x:v>数量</x:v>
      </x:c>
      <x:c r="D5" s="13" t="str">
        <x:v>生效后的规划原则</x:v>
      </x:c>
      <x:c r="E5" s="13"/>
      <x:c r="F5" s="13"/>
      <x:c r="G5" s="13"/>
      <x:c r="H5" s="13"/>
    </x:row>
    <x:row r="6" ht="30" customHeight="1">
      <x:c r="A6" s="18" t="str">
        <x:v>当前已实现（累计）</x:v>
      </x:c>
      <x:c r="B6" s="20" t="n">
        <x:f>COUNTIF('最终120路线'!$D$2:$D$121,"已实现")</x:f>
        <x:v>101</x:v>
      </x:c>
      <x:c r="D6" s="27" t="str">
        <x:v>已实现101项不改ID、不撤销资格；P1-W14新增E106、E109、E010、E013共4项。</x:v>
      </x:c>
      <x:c r="E6" s="27"/>
      <x:c r="F6" s="27"/>
      <x:c r="G6" s="27"/>
      <x:c r="H6" s="27"/>
    </x:row>
    <x:row r="7" ht="30" customHeight="1">
      <x:c r="A7" s="18" t="str">
        <x:v>当前已覆盖目录能力</x:v>
      </x:c>
      <x:c r="B7" s="20" t="n">
        <x:f>COUNTIFS('最终120路线'!$D$2:$D$121,"已实现",'最终120路线'!$G$2:$G$121,"是")</x:f>
        <x:v>83</x:v>
      </x:c>
      <x:c r="D7" s="27" t="str">
        <x:v>2. 延期项不注册、不生成空Schema、不计入count_eligible。</x:v>
      </x:c>
      <x:c r="E7" s="27"/>
      <x:c r="F7" s="27"/>
      <x:c r="G7" s="27"/>
      <x:c r="H7" s="27"/>
    </x:row>
    <x:row r="8" ht="30" customHeight="1">
      <x:c r="A8" s="18" t="str">
        <x:v>原目录尚未覆盖</x:v>
      </x:c>
      <x:c r="B8" s="20" t="n">
        <x:f>120-B7</x:f>
        <x:v>37</x:v>
      </x:c>
      <x:c r="D8" s="27" t="str">
        <x:v>3. 后续工具不得以DS042、现场时序、企业标签或本地训练权重为准入前提。</x:v>
      </x:c>
      <x:c r="E8" s="27"/>
      <x:c r="F8" s="27"/>
      <x:c r="G8" s="27"/>
      <x:c r="H8" s="27"/>
    </x:row>
    <x:row r="9" ht="30" customHeight="1">
      <x:c r="A9" s="18" t="str">
        <x:v>延期的现场/训练依赖项</x:v>
      </x:c>
      <x:c r="B9" s="20" t="n">
        <x:f>COUNTA('延期项20'!$A$2:$A$21)</x:f>
        <x:v>20</x:v>
      </x:c>
      <x:c r="D9" s="27" t="str">
        <x:v>4. 允许调用方显式输入测量值；这不等同于连接现场传感器。</x:v>
      </x:c>
      <x:c r="E9" s="27"/>
      <x:c r="F9" s="27"/>
      <x:c r="G9" s="27"/>
      <x:c r="H9" s="27"/>
    </x:row>
    <x:row r="10" ht="30" customHeight="1">
      <x:c r="A10" s="18" t="str">
        <x:v>后续保留并去现场化</x:v>
      </x:c>
      <x:c r="B10" s="20" t="n">
        <x:f>COUNTA('后续保留17'!$A$2:$A$18)</x:f>
        <x:v>17</x:v>
      </x:c>
      <x:c r="D10" s="27" t="str">
        <x:v>5. 允许使用公开算法、批准数据库和仓库内版本化常数。</x:v>
      </x:c>
      <x:c r="E10" s="27"/>
      <x:c r="F10" s="27"/>
      <x:c r="G10" s="27"/>
      <x:c r="H10" s="27"/>
    </x:row>
    <x:row r="11" ht="30" customHeight="1">
      <x:c r="A11" s="18" t="str">
        <x:v>剩余新增确定性替换项</x:v>
      </x:c>
      <x:c r="B11" s="20" t="n">
        <x:f>COUNTIF('最终120路线'!$D$2:$D$121,"新增替换")</x:f>
        <x:v>2</x:v>
      </x:c>
      <x:c r="D11" s="27" t="str">
        <x:v>6. 优化工具只输出离线方案，不直接下发PLC、设备或联锁。</x:v>
      </x:c>
      <x:c r="E11" s="27"/>
      <x:c r="F11" s="27"/>
      <x:c r="G11" s="27"/>
      <x:c r="H11" s="27"/>
    </x:row>
    <x:row r="12" ht="30" customHeight="1">
      <x:c r="A12" s="18" t="str">
        <x:v>未来待实现合计</x:v>
      </x:c>
      <x:c r="B12" s="20" t="n">
        <x:f>B10+B11</x:f>
        <x:v>19</x:v>
      </x:c>
      <x:c r="D12" s="28" t="str">
        <x:v>7. 任何未来恢复的现场模型必须另行完成数据授权、脱敏和时序验证。</x:v>
      </x:c>
      <x:c r="E12" s="28"/>
      <x:c r="F12" s="28"/>
      <x:c r="G12" s="28"/>
      <x:c r="H12" s="28"/>
    </x:row>
    <x:row r="13">
      <x:c r="A13" s="19" t="str">
        <x:v>最终规划运行时工具总数</x:v>
      </x:c>
      <x:c r="B13" s="21" t="n">
        <x:f>SUM(B6,B12)</x:f>
        <x:v>120</x:v>
      </x:c>
    </x:row>
    <x:row r="15">
      <x:c r="A15" s="31" t="str">
        <x:v>计数闭合：101 已实现 + 17 后续保留 + 2 剩余新增替换 = 120；20 项现场数据依赖能力进入延期池。</x:v>
      </x:c>
      <x:c r="B15" s="31"/>
      <x:c r="C15" s="31"/>
      <x:c r="D15" s="31"/>
      <x:c r="E15" s="31"/>
      <x:c r="F15" s="31"/>
      <x:c r="G15" s="31"/>
      <x:c r="H15" s="31"/>
    </x:row>
    <x:row r="17">
      <x:c r="A17" s="34" t="str">
        <x:v>注意：‘替换’是工具组合层面的规模替换，不宣称新工具能产生被延期预测模型的同类输出。</x:v>
      </x:c>
      <x:c r="B17" s="34"/>
      <x:c r="C17" s="34"/>
      <x:c r="D17" s="34"/>
      <x:c r="E17" s="34"/>
      <x:c r="F17" s="34"/>
      <x:c r="G17" s="34"/>
      <x:c r="H17" s="34"/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A15:H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20" hidden="0" customWidth="1"/>
    <x:col min="5" max="5" width="42" hidden="0" customWidth="1"/>
    <x:col min="6" max="6" width="42" hidden="0" customWidth="1"/>
    <x:col min="7" max="7" width="42" hidden="0" customWidth="1"/>
    <x:col min="8" max="8" width="13" hidden="0" customWidth="1"/>
    <x:col min="9" max="9" width="11" hidden="0" customWidth="1"/>
    <x:col min="10" max="10" width="48" hidden="0" customWidth="1"/>
  </x:cols>
  <x:sheetData>
    <x:row r="1" ht="15" hidden="0" customHeight="1">
      <x:c r="A1" s="13" t="str">
        <x:v>原目录ID</x:v>
      </x:c>
      <x:c r="B1" s="13" t="str">
        <x:v>原工具名称</x:v>
      </x:c>
      <x:c r="C1" s="13" t="str">
        <x:v>场景</x:v>
      </x:c>
      <x:c r="D1" s="13" t="str">
        <x:v>原类型</x:v>
      </x:c>
      <x:c r="E1" s="13" t="str">
        <x:v>延期原因</x:v>
      </x:c>
      <x:c r="F1" s="13" t="str">
        <x:v>原数据/来源</x:v>
      </x:c>
      <x:c r="G1" s="13" t="str">
        <x:v>组合替代能力</x:v>
      </x:c>
      <x:c r="H1" s="13" t="str">
        <x:v>当前状态</x:v>
      </x:c>
      <x:c r="I1" s="13" t="str">
        <x:v>计数资格</x:v>
      </x:c>
      <x:c r="J1" s="13" t="str">
        <x:v>恢复条件</x:v>
      </x:c>
    </x:row>
    <x:row r="2" ht="42" hidden="0" customHeight="1">
      <x:c r="A2" s="18" t="str">
        <x:v>B021</x:v>
      </x:c>
      <x:c r="B2" s="18" t="str">
        <x:v>液相线/固相线回归</x:v>
      </x:c>
      <x:c r="C2" s="18" t="str">
        <x:v>热力学与相平衡</x:v>
      </x:c>
      <x:c r="D2" s="18" t="str">
        <x:v>回归模型</x:v>
      </x:c>
      <x:c r="E2" s="18" t="str">
        <x:v>必须用实验/CALPHAD样本训练并做钢种外推验证</x:v>
      </x:c>
      <x:c r="F2" s="18" t="str">
        <x:v>DS031/DS043/DS044生成数据+DS042实验数据；DS031,DS041,DS042,DS043,DS044</x:v>
      </x:c>
      <x:c r="G2" s="18" t="str">
        <x:v>B026,B027（非理想热力学/VLE确定性能力）</x:v>
      </x:c>
      <x:c r="H2" s="18" t="str">
        <x:v>延期</x:v>
      </x:c>
      <x:c r="I2" s="18" t="str">
        <x:v>否</x:v>
      </x:c>
      <x:c r="J2" s="18" t="str">
        <x:v>取得经授权脱敏的真实数据、固定模型权重并完成按时间/设备/钢种分组验证后重新评审</x:v>
      </x:c>
    </x:row>
    <x:row r="3" ht="42" hidden="0" customHeight="1">
      <x:c r="A3" s="18" t="str">
        <x:v>D008</x:v>
      </x:c>
      <x:c r="B3" s="18" t="str">
        <x:v>终点碳预测</x:v>
      </x:c>
      <x:c r="C3" s="18" t="str">
        <x:v>转炉炼钢</x:v>
      </x:c>
      <x:c r="D3" s="18" t="str">
        <x:v>机器学习预测</x:v>
      </x:c>
      <x:c r="E3" s="18" t="str">
        <x:v>需要企业炉次、炉气、副枪与终点碳标签</x:v>
      </x:c>
      <x:c r="F3" s="18" t="str">
        <x:v>DS042企业炉次数据+原料/热化学数据；DS041,DS042</x:v>
      </x:c>
      <x:c r="G3" s="18" t="str">
        <x:v>D022,D023 + 既有D002/D007（静态衡算与原子配料）</x:v>
      </x:c>
      <x:c r="H3" s="18" t="str">
        <x:v>延期</x:v>
      </x:c>
      <x:c r="I3" s="18" t="str">
        <x:v>否</x:v>
      </x:c>
      <x:c r="J3" s="18" t="str">
        <x:v>取得经授权脱敏的真实数据、固定模型权重并完成按时间/设备/钢种分组验证后重新评审</x:v>
      </x:c>
    </x:row>
    <x:row r="4" ht="42" hidden="0" customHeight="1">
      <x:c r="A4" s="18" t="str">
        <x:v>D009</x:v>
      </x:c>
      <x:c r="B4" s="18" t="str">
        <x:v>终点温度预测</x:v>
      </x:c>
      <x:c r="C4" s="18" t="str">
        <x:v>转炉炼钢</x:v>
      </x:c>
      <x:c r="D4" s="18" t="str">
        <x:v>机器学习预测</x:v>
      </x:c>
      <x:c r="E4" s="18" t="str">
        <x:v>需要企业炉次、炉气、副枪与终点温度标签</x:v>
      </x:c>
      <x:c r="F4" s="18" t="str">
        <x:v>DS042企业炉次数据+原料/热化学数据；DS041,DS042</x:v>
      </x:c>
      <x:c r="G4" s="18" t="str">
        <x:v>D022,D023 + 既有D002/D007（静态衡算与原子配料）</x:v>
      </x:c>
      <x:c r="H4" s="18" t="str">
        <x:v>延期</x:v>
      </x:c>
      <x:c r="I4" s="18" t="str">
        <x:v>否</x:v>
      </x:c>
      <x:c r="J4" s="18" t="str">
        <x:v>取得经授权脱敏的真实数据、固定模型权重并完成按时间/设备/钢种分组验证后重新评审</x:v>
      </x:c>
    </x:row>
    <x:row r="5" ht="42" hidden="0" customHeight="1">
      <x:c r="A5" s="18" t="str">
        <x:v>D017</x:v>
      </x:c>
      <x:c r="B5" s="18" t="str">
        <x:v>氧枪枪位推荐</x:v>
      </x:c>
      <x:c r="C5" s="18" t="str">
        <x:v>转炉炼钢</x:v>
      </x:c>
      <x:c r="D5" s="18" t="str">
        <x:v>推荐模型</x:v>
      </x:c>
      <x:c r="E5" s="18" t="str">
        <x:v>需要炉气/喷溅信号、炉龄和历史最优炉次</x:v>
      </x:c>
      <x:c r="F5" s="18" t="str">
        <x:v>DS042企业炉次数据+原料/热化学数据；DS025,DS042</x:v>
      </x:c>
      <x:c r="G5" s="18" t="str">
        <x:v>D022,D023 + 既有D002/D007（静态衡算与原子配料）</x:v>
      </x:c>
      <x:c r="H5" s="18" t="str">
        <x:v>延期</x:v>
      </x:c>
      <x:c r="I5" s="18" t="str">
        <x:v>否</x:v>
      </x:c>
      <x:c r="J5" s="18" t="str">
        <x:v>取得经授权脱敏的真实数据、固定模型权重并完成按时间/设备/钢种分组验证后重新评审</x:v>
      </x:c>
    </x:row>
    <x:row r="6" ht="42" hidden="0" customHeight="1">
      <x:c r="A6" s="18" t="str">
        <x:v>E008</x:v>
      </x:c>
      <x:c r="B6" s="18" t="str">
        <x:v>焦比估算</x:v>
      </x:c>
      <x:c r="C6" s="18" t="str">
        <x:v>高炉低碳</x:v>
      </x:c>
      <x:c r="D6" s="18" t="str">
        <x:v>经验/混合模型</x:v>
      </x:c>
      <x:c r="E6" s="18" t="str">
        <x:v>经验/混合模型需要具体高炉长期标定</x:v>
      </x:c>
      <x:c r="F6" s="18" t="str">
        <x:v>DS042高炉日/月数据+原料分析+能源/排放因子；DS025,DS026,DS027,DS042</x:v>
      </x:c>
      <x:c r="G6" s="18" t="str">
        <x:v>E021,E022 + 既有E001-E014（平衡与守恒）</x:v>
      </x:c>
      <x:c r="H6" s="18" t="str">
        <x:v>延期</x:v>
      </x:c>
      <x:c r="I6" s="18" t="str">
        <x:v>否</x:v>
      </x:c>
      <x:c r="J6" s="18" t="str">
        <x:v>取得经授权脱敏的真实数据、固定模型权重并完成按时间/设备/钢种分组验证后重新评审</x:v>
      </x:c>
    </x:row>
    <x:row r="7" ht="42" hidden="0" customHeight="1">
      <x:c r="A7" s="18" t="str">
        <x:v>E016</x:v>
      </x:c>
      <x:c r="B7" s="18" t="str">
        <x:v>布料分布指数</x:v>
      </x:c>
      <x:c r="C7" s="18" t="str">
        <x:v>高炉低碳</x:v>
      </x:c>
      <x:c r="D7" s="18" t="str">
        <x:v>指标/数据模型</x:v>
      </x:c>
      <x:c r="E7" s="18" t="str">
        <x:v>需要探尺/雷达和布料批次现场数据</x:v>
      </x:c>
      <x:c r="F7" s="18" t="str">
        <x:v>DS042高炉日/月数据+原料分析+能源/排放因子；DS025,DS026,DS027,DS042</x:v>
      </x:c>
      <x:c r="G7" s="18" t="str">
        <x:v>E021,E022 + 既有E001-E014（平衡与守恒）</x:v>
      </x:c>
      <x:c r="H7" s="18" t="str">
        <x:v>延期</x:v>
      </x:c>
      <x:c r="I7" s="18" t="str">
        <x:v>否</x:v>
      </x:c>
      <x:c r="J7" s="18" t="str">
        <x:v>取得经授权脱敏的真实数据、固定模型权重并完成按时间/设备/钢种分组验证后重新评审</x:v>
      </x:c>
    </x:row>
    <x:row r="8" ht="42" hidden="0" customHeight="1">
      <x:c r="A8" s="18" t="str">
        <x:v>E017</x:v>
      </x:c>
      <x:c r="B8" s="18" t="str">
        <x:v>铁水硅预测</x:v>
      </x:c>
      <x:c r="C8" s="18" t="str">
        <x:v>高炉低碳</x:v>
      </x:c>
      <x:c r="D8" s="18" t="str">
        <x:v>机器学习预测</x:v>
      </x:c>
      <x:c r="E8" s="18" t="str">
        <x:v>需要多小时工况时序与铁水Si化验标签</x:v>
      </x:c>
      <x:c r="F8" s="18" t="str">
        <x:v>DS042高炉日/月数据+原料分析+能源/排放因子；DS041,DS042</x:v>
      </x:c>
      <x:c r="G8" s="18" t="str">
        <x:v>E021,E022 + 既有E001-E014（平衡与守恒）</x:v>
      </x:c>
      <x:c r="H8" s="18" t="str">
        <x:v>延期</x:v>
      </x:c>
      <x:c r="I8" s="18" t="str">
        <x:v>否</x:v>
      </x:c>
      <x:c r="J8" s="18" t="str">
        <x:v>取得经授权脱敏的真实数据、固定模型权重并完成按时间/设备/钢种分组验证后重新评审</x:v>
      </x:c>
    </x:row>
    <x:row r="9" ht="42" hidden="0" customHeight="1">
      <x:c r="A9" s="18" t="str">
        <x:v>E018</x:v>
      </x:c>
      <x:c r="B9" s="18" t="str">
        <x:v>铁水温度预测</x:v>
      </x:c>
      <x:c r="C9" s="18" t="str">
        <x:v>高炉低碳</x:v>
      </x:c>
      <x:c r="D9" s="18" t="str">
        <x:v>机器学习预测</x:v>
      </x:c>
      <x:c r="E9" s="18" t="str">
        <x:v>需要多小时工况时序与铁水温度标签</x:v>
      </x:c>
      <x:c r="F9" s="18" t="str">
        <x:v>DS042高炉日/月数据+原料分析+能源/排放因子；DS041,DS042</x:v>
      </x:c>
      <x:c r="G9" s="18" t="str">
        <x:v>E021,E022 + 既有E001-E014（平衡与守恒）</x:v>
      </x:c>
      <x:c r="H9" s="18" t="str">
        <x:v>延期</x:v>
      </x:c>
      <x:c r="I9" s="18" t="str">
        <x:v>否</x:v>
      </x:c>
      <x:c r="J9" s="18" t="str">
        <x:v>取得经授权脱敏的真实数据、固定模型权重并完成按时间/设备/钢种分组验证后重新评审</x:v>
      </x:c>
    </x:row>
    <x:row r="10" ht="42" hidden="0" customHeight="1">
      <x:c r="A10" s="18" t="str">
        <x:v>E019</x:v>
      </x:c>
      <x:c r="B10" s="18" t="str">
        <x:v>炉况稳定性分类</x:v>
      </x:c>
      <x:c r="C10" s="18" t="str">
        <x:v>高炉低碳</x:v>
      </x:c>
      <x:c r="D10" s="18" t="str">
        <x:v>分类/异常检测</x:v>
      </x:c>
      <x:c r="E10" s="18" t="str">
        <x:v>需要炉况事件标签与多变量连续时序</x:v>
      </x:c>
      <x:c r="F10" s="18" t="str">
        <x:v>DS042高炉日/月数据+原料分析+能源/排放因子；DS041,DS042</x:v>
      </x:c>
      <x:c r="G10" s="18" t="str">
        <x:v>E021,E022 + 既有E001-E014（平衡与守恒）</x:v>
      </x:c>
      <x:c r="H10" s="18" t="str">
        <x:v>延期</x:v>
      </x:c>
      <x:c r="I10" s="18" t="str">
        <x:v>否</x:v>
      </x:c>
      <x:c r="J10" s="18" t="str">
        <x:v>取得经授权脱敏的真实数据、固定模型权重并完成按时间/设备/钢种分组验证后重新评审</x:v>
      </x:c>
    </x:row>
    <x:row r="11" ht="42" hidden="0" customHeight="1">
      <x:c r="A11" s="18" t="str">
        <x:v>F010</x:v>
      </x:c>
      <x:c r="B11" s="18" t="str">
        <x:v>反问题换热系数辨识</x:v>
      </x:c>
      <x:c r="C11" s="18" t="str">
        <x:v>连铸质量与二冷</x:v>
      </x:c>
      <x:c r="D11" s="18" t="str">
        <x:v>反问题/参数辨识</x:v>
      </x:c>
      <x:c r="E11" s="18" t="str">
        <x:v>反问题必须使用真实测温位置和温度观测</x:v>
      </x:c>
      <x:c r="F11" s="18" t="str">
        <x:v>DS042钢种/浇次/温度/拉速/水量/质量数据+物性；DS037,DS040,DS042</x:v>
      </x:c>
      <x:c r="G11" s="18" t="str">
        <x:v>C011,C012,T003,T004,H003（传递与时间尺度）</x:v>
      </x:c>
      <x:c r="H11" s="18" t="str">
        <x:v>延期</x:v>
      </x:c>
      <x:c r="I11" s="18" t="str">
        <x:v>否</x:v>
      </x:c>
      <x:c r="J11" s="18" t="str">
        <x:v>取得经授权脱敏的真实数据、固定模型权重并完成按时间/设备/钢种分组验证后重新评审</x:v>
      </x:c>
    </x:row>
    <x:row r="12" ht="42" hidden="0" customHeight="1">
      <x:c r="A12" s="18" t="str">
        <x:v>F012</x:v>
      </x:c>
      <x:c r="B12" s="18" t="str">
        <x:v>漏钢风险预测</x:v>
      </x:c>
      <x:c r="C12" s="18" t="str">
        <x:v>连铸质量与二冷</x:v>
      </x:c>
      <x:c r="D12" s="18" t="str">
        <x:v>时序风险预测</x:v>
      </x:c>
      <x:c r="E12" s="18" t="str">
        <x:v>需要结晶器热电偶时空信号及漏钢/粘结标签</x:v>
      </x:c>
      <x:c r="F12" s="18" t="str">
        <x:v>DS042钢种/浇次/温度/拉速/水量/质量数据+物性；DS041,DS042</x:v>
      </x:c>
      <x:c r="G12" s="18" t="str">
        <x:v>C011,C012,T003,T004,H003（传递与时间尺度）</x:v>
      </x:c>
      <x:c r="H12" s="18" t="str">
        <x:v>延期</x:v>
      </x:c>
      <x:c r="I12" s="18" t="str">
        <x:v>否</x:v>
      </x:c>
      <x:c r="J12" s="18" t="str">
        <x:v>取得经授权脱敏的真实数据、固定模型权重并完成按时间/设备/钢种分组验证后重新评审</x:v>
      </x:c>
    </x:row>
    <x:row r="13" ht="42" hidden="0" customHeight="1">
      <x:c r="A13" s="18" t="str">
        <x:v>F013</x:v>
      </x:c>
      <x:c r="B13" s="18" t="str">
        <x:v>液面波动异常检测</x:v>
      </x:c>
      <x:c r="C13" s="18" t="str">
        <x:v>连铸质量与二冷</x:v>
      </x:c>
      <x:c r="D13" s="18" t="str">
        <x:v>时序异常检测</x:v>
      </x:c>
      <x:c r="E13" s="18" t="str">
        <x:v>需要液位、塞棒、拉速时序与异常片段</x:v>
      </x:c>
      <x:c r="F13" s="18" t="str">
        <x:v>DS042钢种/浇次/温度/拉速/水量/质量数据+物性；DS041,DS042</x:v>
      </x:c>
      <x:c r="G13" s="18" t="str">
        <x:v>C011,C012,T003,T004,H003（传递与时间尺度）</x:v>
      </x:c>
      <x:c r="H13" s="18" t="str">
        <x:v>延期</x:v>
      </x:c>
      <x:c r="I13" s="18" t="str">
        <x:v>否</x:v>
      </x:c>
      <x:c r="J13" s="18" t="str">
        <x:v>取得经授权脱敏的真实数据、固定模型权重并完成按时间/设备/钢种分组验证后重新评审</x:v>
      </x:c>
    </x:row>
    <x:row r="14" ht="42" hidden="0" customHeight="1">
      <x:c r="A14" s="18" t="str">
        <x:v>F015</x:v>
      </x:c>
      <x:c r="B14" s="18" t="str">
        <x:v>表面裂纹敏感性</x:v>
      </x:c>
      <x:c r="C14" s="18" t="str">
        <x:v>连铸质量与二冷</x:v>
      </x:c>
      <x:c r="D14" s="18" t="str">
        <x:v>机器学习预测</x:v>
      </x:c>
      <x:c r="E14" s="18" t="str">
        <x:v>需要按浇次/钢种分组的表面裂纹质量标签</x:v>
      </x:c>
      <x:c r="F14" s="18" t="str">
        <x:v>DS042钢种/浇次/温度/拉速/水量/质量数据+物性；DS014,DS041,DS042</x:v>
      </x:c>
      <x:c r="G14" s="18" t="str">
        <x:v>C011,C012,T003,T004,H003（传递与时间尺度）</x:v>
      </x:c>
      <x:c r="H14" s="18" t="str">
        <x:v>延期</x:v>
      </x:c>
      <x:c r="I14" s="18" t="str">
        <x:v>否</x:v>
      </x:c>
      <x:c r="J14" s="18" t="str">
        <x:v>取得经授权脱敏的真实数据、固定模型权重并完成按时间/设备/钢种分组验证后重新评审</x:v>
      </x:c>
    </x:row>
    <x:row r="15" ht="42" hidden="0" customHeight="1">
      <x:c r="A15" s="18" t="str">
        <x:v>F016</x:v>
      </x:c>
      <x:c r="B15" s="18" t="str">
        <x:v>中心偏析预测</x:v>
      </x:c>
      <x:c r="C15" s="18" t="str">
        <x:v>连铸质量与二冷</x:v>
      </x:c>
      <x:c r="D15" s="18" t="str">
        <x:v>机器学习预测</x:v>
      </x:c>
      <x:c r="E15" s="18" t="str">
        <x:v>需要中心偏析检测结果与工艺历史</x:v>
      </x:c>
      <x:c r="F15" s="18" t="str">
        <x:v>DS042钢种/浇次/温度/拉速/水量/质量数据+物性；DS014,DS041,DS042</x:v>
      </x:c>
      <x:c r="G15" s="18" t="str">
        <x:v>C011,C012,T003,T004,H003（传递与时间尺度）</x:v>
      </x:c>
      <x:c r="H15" s="18" t="str">
        <x:v>延期</x:v>
      </x:c>
      <x:c r="I15" s="18" t="str">
        <x:v>否</x:v>
      </x:c>
      <x:c r="J15" s="18" t="str">
        <x:v>取得经授权脱敏的真实数据、固定模型权重并完成按时间/设备/钢种分组验证后重新评审</x:v>
      </x:c>
    </x:row>
    <x:row r="16" ht="42" hidden="0" customHeight="1">
      <x:c r="A16" s="18" t="str">
        <x:v>F017</x:v>
      </x:c>
      <x:c r="B16" s="18" t="str">
        <x:v>中心疏松预测</x:v>
      </x:c>
      <x:c r="C16" s="18" t="str">
        <x:v>连铸质量与二冷</x:v>
      </x:c>
      <x:c r="D16" s="18" t="str">
        <x:v>机器学习预测</x:v>
      </x:c>
      <x:c r="E16" s="18" t="str">
        <x:v>需要中心疏松检测结果与工艺历史</x:v>
      </x:c>
      <x:c r="F16" s="18" t="str">
        <x:v>DS042钢种/浇次/温度/拉速/水量/质量数据+物性；DS014,DS041,DS042</x:v>
      </x:c>
      <x:c r="G16" s="18" t="str">
        <x:v>C011,C012,T003,T004,H003（传递与时间尺度）</x:v>
      </x:c>
      <x:c r="H16" s="18" t="str">
        <x:v>延期</x:v>
      </x:c>
      <x:c r="I16" s="18" t="str">
        <x:v>否</x:v>
      </x:c>
      <x:c r="J16" s="18" t="str">
        <x:v>取得经授权脱敏的真实数据、固定模型权重并完成按时间/设备/钢种分组验证后重新评审</x:v>
      </x:c>
    </x:row>
    <x:row r="17" ht="42" hidden="0" customHeight="1">
      <x:c r="A17" s="18" t="str">
        <x:v>F019</x:v>
      </x:c>
      <x:c r="B17" s="18" t="str">
        <x:v>电磁搅拌效果指数</x:v>
      </x:c>
      <x:c r="C17" s="18" t="str">
        <x:v>连铸质量与二冷</x:v>
      </x:c>
      <x:c r="D17" s="18" t="str">
        <x:v>指标/代理模型</x:v>
      </x:c>
      <x:c r="E17" s="18" t="str">
        <x:v>效果指数需用偏析结果或现场回归校准</x:v>
      </x:c>
      <x:c r="F17" s="18" t="str">
        <x:v>DS042钢种/浇次/温度/拉速/水量/质量数据+物性；DS035,DS041,DS042</x:v>
      </x:c>
      <x:c r="G17" s="18" t="str">
        <x:v>C011,C012,T003,T004,H003（传递与时间尺度）</x:v>
      </x:c>
      <x:c r="H17" s="18" t="str">
        <x:v>延期</x:v>
      </x:c>
      <x:c r="I17" s="18" t="str">
        <x:v>否</x:v>
      </x:c>
      <x:c r="J17" s="18" t="str">
        <x:v>取得经授权脱敏的真实数据、固定模型权重并完成按时间/设备/钢种分组验证后重新评审</x:v>
      </x:c>
    </x:row>
    <x:row r="18" ht="42" hidden="0" customHeight="1">
      <x:c r="A18" s="18" t="str">
        <x:v>F020</x:v>
      </x:c>
      <x:c r="B18" s="18" t="str">
        <x:v>铸坯质量分类</x:v>
      </x:c>
      <x:c r="C18" s="18" t="str">
        <x:v>连铸质量与二冷</x:v>
      </x:c>
      <x:c r="D18" s="18" t="str">
        <x:v>机器学习预测</x:v>
      </x:c>
      <x:c r="E18" s="18" t="str">
        <x:v>需要完整铸坯质量分类标签</x:v>
      </x:c>
      <x:c r="F18" s="18" t="str">
        <x:v>DS042钢种/浇次/温度/拉速/水量/质量数据+物性；DS014,DS041,DS042</x:v>
      </x:c>
      <x:c r="G18" s="18" t="str">
        <x:v>C011,C012,T003,T004,H003（传递与时间尺度）</x:v>
      </x:c>
      <x:c r="H18" s="18" t="str">
        <x:v>延期</x:v>
      </x:c>
      <x:c r="I18" s="18" t="str">
        <x:v>否</x:v>
      </x:c>
      <x:c r="J18" s="18" t="str">
        <x:v>取得经授权脱敏的真实数据、固定模型权重并完成按时间/设备/钢种分组验证后重新评审</x:v>
      </x:c>
    </x:row>
    <x:row r="19" ht="42" hidden="0" customHeight="1">
      <x:c r="A19" s="18" t="str">
        <x:v>G007</x:v>
      </x:c>
      <x:c r="B19" s="18" t="str">
        <x:v>降阶/代理模型</x:v>
      </x:c>
      <x:c r="C19" s="18" t="str">
        <x:v>仿真/优化/智能体支撑</x:v>
      </x:c>
      <x:c r="D19" s="18" t="str">
        <x:v>机器学习代理</x:v>
      </x:c>
      <x:c r="E19" s="18" t="str">
        <x:v>代理模型必须有高保真仿真或实验训练集</x:v>
      </x:c>
      <x:c r="F19" s="18" t="str">
        <x:v>公开基础数据+项目数据字典；DS041,DS042</x:v>
      </x:c>
      <x:c r="G19" s="18" t="str">
        <x:v>G009,G010,G013 + A011（确定性分析、约束与守恒）</x:v>
      </x:c>
      <x:c r="H19" s="18" t="str">
        <x:v>延期</x:v>
      </x:c>
      <x:c r="I19" s="18" t="str">
        <x:v>否</x:v>
      </x:c>
      <x:c r="J19" s="18" t="str">
        <x:v>取得经授权脱敏的真实数据、固定模型权重并完成按时间/设备/钢种分组验证后重新评审</x:v>
      </x:c>
    </x:row>
    <x:row r="20" ht="42" hidden="0" customHeight="1">
      <x:c r="A20" s="18" t="str">
        <x:v>G014</x:v>
      </x:c>
      <x:c r="B20" s="18" t="str">
        <x:v>模型路由评分器</x:v>
      </x:c>
      <x:c r="C20" s="18" t="str">
        <x:v>仿真/优化/智能体支撑</x:v>
      </x:c>
      <x:c r="D20" s="18" t="str">
        <x:v>智能体路由模型</x:v>
      </x:c>
      <x:c r="E20" s="18" t="str">
        <x:v>路由评分需要任务标注和历史成功率</x:v>
      </x:c>
      <x:c r="F20" s="18" t="str">
        <x:v>公开基础数据+项目数据字典；DS042</x:v>
      </x:c>
      <x:c r="G20" s="18" t="str">
        <x:v>G009,G010,G013 + A011（确定性分析、约束与守恒）</x:v>
      </x:c>
      <x:c r="H20" s="18" t="str">
        <x:v>延期</x:v>
      </x:c>
      <x:c r="I20" s="18" t="str">
        <x:v>否</x:v>
      </x:c>
      <x:c r="J20" s="18" t="str">
        <x:v>取得经授权脱敏的真实数据、固定模型权重并完成按时间/设备/钢种分组验证后重新评审</x:v>
      </x:c>
    </x:row>
    <x:row r="21" ht="42" hidden="0" customHeight="1">
      <x:c r="A21" s="19" t="str">
        <x:v>G015</x:v>
      </x:c>
      <x:c r="B21" s="19" t="str">
        <x:v>分布外/OOD检测</x:v>
      </x:c>
      <x:c r="C21" s="19" t="str">
        <x:v>仿真/优化/智能体支撑</x:v>
      </x:c>
      <x:c r="D21" s="19" t="str">
        <x:v>分布外检测</x:v>
      </x:c>
      <x:c r="E21" s="19" t="str">
        <x:v>OOD检测必须绑定训练分布摘要与留出数据</x:v>
      </x:c>
      <x:c r="F21" s="19" t="str">
        <x:v>公开基础数据+项目数据字典；DS041,DS042</x:v>
      </x:c>
      <x:c r="G21" s="19" t="str">
        <x:v>G009,G010,G013 + A011（确定性分析、约束与守恒）</x:v>
      </x:c>
      <x:c r="H21" s="19" t="str">
        <x:v>延期</x:v>
      </x:c>
      <x:c r="I21" s="19" t="str">
        <x:v>否</x:v>
      </x:c>
      <x:c r="J21" s="19" t="str">
        <x:v>取得经授权脱敏的真实数据、固定模型权重并完成按时间/设备/钢种分组验证后重新评审</x:v>
      </x:c>
    </x:row>
  </x:sheetData>
  <x:conditionalFormatting sqref="A2:J21">
    <x:cfRule type="containsText" dxfId="0" priority="1" operator="containsText" text="延期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11" hidden="0" customWidth="1"/>
    <x:col min="4" max="4" width="22" hidden="0" customWidth="1"/>
    <x:col min="5" max="5" width="24" hidden="0" customWidth="1"/>
    <x:col min="6" max="6" width="42" hidden="0" customWidth="1"/>
    <x:col min="7" max="7" width="38" hidden="0" customWidth="1"/>
    <x:col min="8" max="8" width="38" hidden="0" customWidth="1"/>
    <x:col min="9" max="9" width="44" hidden="0" customWidth="1"/>
    <x:col min="10" max="10" width="15" hidden="0" customWidth="1"/>
    <x:col min="11" max="11" width="13" hidden="0" customWidth="1"/>
    <x:col min="12" max="12" width="40" hidden="0" customWidth="1"/>
    <x:col min="13" max="13" width="26" hidden="0" customWidth="1"/>
    <x:col min="14" max="14" width="11" hidden="0" customWidth="1"/>
    <x:col min="15" max="15" width="40" hidden="0" customWidth="1"/>
    <x:col min="16" max="16" width="30" hidden="0" customWidth="1"/>
  </x:cols>
  <x:sheetData>
    <x:row r="1" ht="15" hidden="0" customHeight="1">
      <x:c r="A1" s="13" t="str">
        <x:v>顺序</x:v>
      </x:c>
      <x:c r="B1" s="13" t="str">
        <x:v>运行时ID</x:v>
      </x:c>
      <x:c r="C1" s="13" t="str">
        <x:v>目录ID</x:v>
      </x:c>
      <x:c r="D1" s="13" t="str">
        <x:v>场景</x:v>
      </x:c>
      <x:c r="E1" s="13" t="str">
        <x:v>工具名称</x:v>
      </x:c>
      <x:c r="F1" s="13" t="str">
        <x:v>调整后方法</x:v>
      </x:c>
      <x:c r="G1" s="13" t="str">
        <x:v>主要输入</x:v>
      </x:c>
      <x:c r="H1" s="13" t="str">
        <x:v>主要输出</x:v>
      </x:c>
      <x:c r="I1" s="13" t="str">
        <x:v>调整后数据策略</x:v>
      </x:c>
      <x:c r="J1" s="13" t="str">
        <x:v>现场数据依赖</x:v>
      </x:c>
      <x:c r="K1" s="13" t="str">
        <x:v>训练/权重</x:v>
      </x:c>
      <x:c r="L1" s="13" t="str">
        <x:v>依据</x:v>
      </x:c>
      <x:c r="M1" s="13" t="str">
        <x:v>工具依赖</x:v>
      </x:c>
      <x:c r="N1" s="13" t="str">
        <x:v>难度</x:v>
      </x:c>
      <x:c r="O1" s="13" t="str">
        <x:v>相对原表调整</x:v>
      </x:c>
      <x:c r="P1" s="13" t="str">
        <x:v>API函数名</x:v>
      </x:c>
    </x:row>
    <x:row r="2" ht="42" hidden="0" customHeight="1">
      <x:c r="A2" s="18" t="n">
        <x:v>1</x:v>
      </x:c>
      <x:c r="B2" s="18" t="str">
        <x:v>E015</x:v>
      </x:c>
      <x:c r="C2" s="18" t="str">
        <x:v>E015</x:v>
      </x:c>
      <x:c r="D2" s="18" t="str">
        <x:v>高炉低碳</x:v>
      </x:c>
      <x:c r="E2" s="18" t="str">
        <x:v>透气性指数</x:v>
      </x:c>
      <x:c r="F2" s="18" t="str">
        <x:v>单工况透气性指数；删除趋势异常输出</x:v>
      </x:c>
      <x:c r="G2" s="18" t="str">
        <x:v>压差、风量、炉顶压力、料线</x:v>
      </x:c>
      <x:c r="H2" s="18" t="str">
        <x:v>透气性指数、趋势异常</x:v>
      </x:c>
      <x:c r="I2" s="18" t="str">
        <x:v>调用方显式提供压差、风量、炉顶压力和料柱高度</x:v>
      </x:c>
      <x:c r="J2" s="18" t="str">
        <x:v>否</x:v>
      </x:c>
      <x:c r="K2" s="18" t="str">
        <x:v>否</x:v>
      </x:c>
      <x:c r="L2" s="18" t="str">
        <x:v>压差—流量归一化指数</x:v>
      </x:c>
      <x:c r="M2" s="18" t="str">
        <x:v>E014</x:v>
      </x:c>
      <x:c r="N2" s="18" t="str">
        <x:v>低</x:v>
      </x:c>
      <x:c r="O2" s="18" t="str">
        <x:v>不读取连续时序；不提供炉况预警</x:v>
      </x:c>
      <x:c r="P2" s="18" t="str">
        <x:v>calc_permeability_index</x:v>
      </x:c>
    </x:row>
    <x:row r="3" ht="42" hidden="0" customHeight="1">
      <x:c r="A3" s="18" t="n">
        <x:v>2</x:v>
      </x:c>
      <x:c r="B3" s="18" t="str">
        <x:v>E020</x:v>
      </x:c>
      <x:c r="C3" s="18" t="str">
        <x:v>E020</x:v>
      </x:c>
      <x:c r="D3" s="18" t="str">
        <x:v>高炉低碳</x:v>
      </x:c>
      <x:c r="E3" s="18" t="str">
        <x:v>高炉碳足迹</x:v>
      </x:c>
      <x:c r="F3" s="18" t="str">
        <x:v>活动数据×排放因子；工序边界与分配规则</x:v>
      </x:c>
      <x:c r="G3" s="18" t="str">
        <x:v>焦/煤/电/气/原料/产量、因子版本</x:v>
      </x:c>
      <x:c r="H3" s="18" t="str">
        <x:v>tCO2e/tHM、分项排放、范围说明</x:v>
      </x:c>
      <x:c r="I3" s="18" t="str">
        <x:v>调用方显式提供活动数据；排放因子使用公开版本化资产</x:v>
      </x:c>
      <x:c r="J3" s="18" t="str">
        <x:v>否</x:v>
      </x:c>
      <x:c r="K3" s="18" t="str">
        <x:v>否</x:v>
      </x:c>
      <x:c r="L3" s="18" t="str">
        <x:v>ISO 14040/14044与GHG Protocol边界记录</x:v>
      </x:c>
      <x:c r="M3" s="18" t="str">
        <x:v>E001,E003,E005</x:v>
      </x:c>
      <x:c r="N3" s="18" t="str">
        <x:v>中</x:v>
      </x:c>
      <x:c r="O3" s="18" t="str">
        <x:v>不读取企业生产数据库</x:v>
      </x:c>
      <x:c r="P3" s="18" t="str">
        <x:v>calc_bf_carbon_footprint</x:v>
      </x:c>
    </x:row>
    <x:row r="4" ht="42" hidden="0" customHeight="1">
      <x:c r="A4" s="18" t="n">
        <x:v>3</x:v>
      </x:c>
      <x:c r="B4" s="18" t="str">
        <x:v>F008</x:v>
      </x:c>
      <x:c r="C4" s="18" t="str">
        <x:v>F008</x:v>
      </x:c>
      <x:c r="D4" s="18" t="str">
        <x:v>连铸质量与二冷</x:v>
      </x:c>
      <x:c r="E4" s="18" t="str">
        <x:v>二冷总水量计算</x:v>
      </x:c>
      <x:c r="F4" s="18" t="str">
        <x:v>目标表面温度/比水量经验模型</x:v>
      </x:c>
      <x:c r="G4" s="18" t="str">
        <x:v>钢种、断面、拉速、目标温度</x:v>
      </x:c>
      <x:c r="H4" s="18" t="str">
        <x:v>总水量、比水量</x:v>
      </x:c>
      <x:c r="I4" s="18" t="str">
        <x:v>显式断面、拉速、目标热负荷/比水量参数</x:v>
      </x:c>
      <x:c r="J4" s="18" t="str">
        <x:v>否</x:v>
      </x:c>
      <x:c r="K4" s="18" t="str">
        <x:v>否</x:v>
      </x:c>
      <x:c r="L4" s="18" t="str">
        <x:v>质量流量与比水量/热量平衡</x:v>
      </x:c>
      <x:c r="M4" s="18" t="str">
        <x:v>F003,F005</x:v>
      </x:c>
      <x:c r="N4" s="18" t="str">
        <x:v>低</x:v>
      </x:c>
      <x:c r="O4" s="18" t="str">
        <x:v>不从历史浇次拟合参数</x:v>
      </x:c>
      <x:c r="P4" s="18" t="str">
        <x:v>calc_total_secondary_cooling_water</x:v>
      </x:c>
    </x:row>
    <x:row r="5" ht="42" hidden="0" customHeight="1">
      <x:c r="A5" s="18" t="n">
        <x:v>4</x:v>
      </x:c>
      <x:c r="B5" s="18" t="str">
        <x:v>F009</x:v>
      </x:c>
      <x:c r="C5" s="18" t="str">
        <x:v>F009</x:v>
      </x:c>
      <x:c r="D5" s="18" t="str">
        <x:v>连铸质量与二冷</x:v>
      </x:c>
      <x:c r="E5" s="18" t="str">
        <x:v>二冷分区水量分配</x:v>
      </x:c>
      <x:c r="F5" s="18" t="str">
        <x:v>各区换热模型+温度/回温约束</x:v>
      </x:c>
      <x:c r="G5" s="18" t="str">
        <x:v>总水量、区段、喷嘴、拉速、目标温度</x:v>
      </x:c>
      <x:c r="H5" s="18" t="str">
        <x:v>分区水量、温度曲线、约束余量</x:v>
      </x:c>
      <x:c r="I5" s="18" t="str">
        <x:v>显式总水量、分区几何、喷嘴能力和温度约束</x:v>
      </x:c>
      <x:c r="J5" s="18" t="str">
        <x:v>否</x:v>
      </x:c>
      <x:c r="K5" s="18" t="str">
        <x:v>否</x:v>
      </x:c>
      <x:c r="L5" s="18" t="str">
        <x:v>分区热平衡与约束优化</x:v>
      </x:c>
      <x:c r="M5" s="18" t="str">
        <x:v>F005,F008,G012</x:v>
      </x:c>
      <x:c r="N5" s="18" t="str">
        <x:v>高</x:v>
      </x:c>
      <x:c r="O5" s="18" t="str">
        <x:v>作为离线方案，不连接阀门或PLC</x:v>
      </x:c>
      <x:c r="P5" s="18" t="str">
        <x:v>allocate_secondary_cooling_water</x:v>
      </x:c>
    </x:row>
    <x:row r="6" ht="42" hidden="0" customHeight="1">
      <x:c r="A6" s="18" t="n">
        <x:v>5</x:v>
      </x:c>
      <x:c r="B6" s="18" t="str">
        <x:v>F011</x:v>
      </x:c>
      <x:c r="C6" s="18" t="str">
        <x:v>F011</x:v>
      </x:c>
      <x:c r="D6" s="18" t="str">
        <x:v>连铸质量与二冷</x:v>
      </x:c>
      <x:c r="E6" s="18" t="str">
        <x:v>拉速优化</x:v>
      </x:c>
      <x:c r="F6" s="18" t="str">
        <x:v>产量、凝固终点、温度、质量风险多目标优化</x:v>
      </x:c>
      <x:c r="G6" s="18" t="str">
        <x:v>钢种、断面、温度、水量、设备约束</x:v>
      </x:c>
      <x:c r="H6" s="18" t="str">
        <x:v>拉速建议、风险/产量权衡</x:v>
      </x:c>
      <x:c r="I6" s="18" t="str">
        <x:v>显式设备长度、温度/凝固约束与候选拉速区间</x:v>
      </x:c>
      <x:c r="J6" s="18" t="str">
        <x:v>否</x:v>
      </x:c>
      <x:c r="K6" s="18" t="str">
        <x:v>否</x:v>
      </x:c>
      <x:c r="L6" s="18" t="str">
        <x:v>F005/F006物理约束下离线搜索</x:v>
      </x:c>
      <x:c r="M6" s="18" t="str">
        <x:v>F005,F006,F009,G012</x:v>
      </x:c>
      <x:c r="N6" s="18" t="str">
        <x:v>高</x:v>
      </x:c>
      <x:c r="O6" s="18" t="str">
        <x:v>不使用历史质量标签，不直接下发拉速</x:v>
      </x:c>
      <x:c r="P6" s="18" t="str">
        <x:v>optimize_casting_speed</x:v>
      </x:c>
    </x:row>
    <x:row r="7" ht="42" hidden="0" customHeight="1">
      <x:c r="A7" s="18" t="n">
        <x:v>6</x:v>
      </x:c>
      <x:c r="B7" s="18" t="str">
        <x:v>F014</x:v>
      </x:c>
      <x:c r="C7" s="18" t="str">
        <x:v>F014</x:v>
      </x:c>
      <x:c r="D7" s="18" t="str">
        <x:v>连铸质量与二冷</x:v>
      </x:c>
      <x:c r="E7" s="18" t="str">
        <x:v>铸坯热应力/应变</x:v>
      </x:c>
      <x:c r="F7" s="18" t="str">
        <x:v>温度场驱动热弹塑性/裂纹判据</x:v>
      </x:c>
      <x:c r="G7" s="18" t="str">
        <x:v>温度场、材料高温力学、边界条件</x:v>
      </x:c>
      <x:c r="H7" s="18" t="str">
        <x:v>应力/应变、危险位置</x:v>
      </x:c>
      <x:c r="I7" s="18" t="str">
        <x:v>显式温度场、材料高温力学参数和边界条件</x:v>
      </x:c>
      <x:c r="J7" s="18" t="str">
        <x:v>否</x:v>
      </x:c>
      <x:c r="K7" s="18" t="str">
        <x:v>否</x:v>
      </x:c>
      <x:c r="L7" s="18" t="str">
        <x:v>热应变与简化弹塑性/有限元</x:v>
      </x:c>
      <x:c r="M7" s="18" t="str">
        <x:v>F005,G003</x:v>
      </x:c>
      <x:c r="N7" s="18" t="str">
        <x:v>高</x:v>
      </x:c>
      <x:c r="O7" s="18" t="str">
        <x:v>不需要现场测温；仅分析显式温度场</x:v>
      </x:c>
      <x:c r="P7" s="18" t="str">
        <x:v>calc_casting_thermal_stress</x:v>
      </x:c>
    </x:row>
    <x:row r="8" ht="42" hidden="0" customHeight="1">
      <x:c r="A8" s="18" t="n">
        <x:v>7</x:v>
      </x:c>
      <x:c r="B8" s="18" t="str">
        <x:v>F018</x:v>
      </x:c>
      <x:c r="C8" s="18" t="str">
        <x:v>F018</x:v>
      </x:c>
      <x:c r="D8" s="18" t="str">
        <x:v>连铸质量与二冷</x:v>
      </x:c>
      <x:c r="E8" s="18" t="str">
        <x:v>夹杂物上浮时间</x:v>
      </x:c>
      <x:c r="F8" s="18" t="str">
        <x:v>Stokes上浮+流场修正</x:v>
      </x:c>
      <x:c r="G8" s="18" t="str">
        <x:v>夹杂尺寸/密度、钢液物性、流场尺度</x:v>
      </x:c>
      <x:c r="H8" s="18" t="str">
        <x:v>上浮速度、停留时间、捕获概率</x:v>
      </x:c>
      <x:c r="I8" s="18" t="str">
        <x:v>显式夹杂尺寸/密度、钢液物性和流动尺度</x:v>
      </x:c>
      <x:c r="J8" s="18" t="str">
        <x:v>否</x:v>
      </x:c>
      <x:c r="K8" s="18" t="str">
        <x:v>否</x:v>
      </x:c>
      <x:c r="L8" s="18" t="str">
        <x:v>Stokes与阻力系数分段关联</x:v>
      </x:c>
      <x:c r="M8" s="18" t="str">
        <x:v>C002,C010</x:v>
      </x:c>
      <x:c r="N8" s="18" t="str">
        <x:v>低</x:v>
      </x:c>
      <x:c r="O8" s="18" t="str">
        <x:v>不使用质量检测标签</x:v>
      </x:c>
      <x:c r="P8" s="18" t="str">
        <x:v>calc_inclusion_float_time</x:v>
      </x:c>
    </x:row>
    <x:row r="9" ht="42" hidden="0" customHeight="1">
      <x:c r="A9" s="18" t="n">
        <x:v>8</x:v>
      </x:c>
      <x:c r="B9" s="18" t="str">
        <x:v>G003</x:v>
      </x:c>
      <x:c r="C9" s="18" t="str">
        <x:v>G003</x:v>
      </x:c>
      <x:c r="D9" s="18" t="str">
        <x:v>仿真/优化/智能体支撑</x:v>
      </x:c>
      <x:c r="E9" s="18" t="str">
        <x:v>一维传热PDE求解</x:v>
      </x:c>
      <x:c r="F9" s="18" t="str">
        <x:v>一维导热有限差分/有限体积</x:v>
      </x:c>
      <x:c r="G9" s="18" t="str">
        <x:v>几何、物性、热源、初边值</x:v>
      </x:c>
      <x:c r="H9" s="18" t="str">
        <x:v>温度场、热流、能量闭合</x:v>
      </x:c>
      <x:c r="I9" s="18" t="str">
        <x:v>显式几何、物性、热源和初边值</x:v>
      </x:c>
      <x:c r="J9" s="18" t="str">
        <x:v>否</x:v>
      </x:c>
      <x:c r="K9" s="18" t="str">
        <x:v>否</x:v>
      </x:c>
      <x:c r="L9" s="18" t="str">
        <x:v>一维导热有限差分/有限体积与能量闭合</x:v>
      </x:c>
      <x:c r="M9" s="18" t="str">
        <x:v>G001,G002,T001</x:v>
      </x:c>
      <x:c r="N9" s="18" t="str">
        <x:v>低</x:v>
      </x:c>
      <x:c r="O9" s="18" t="str">
        <x:v>纯数值PDE，不使用现场数据</x:v>
      </x:c>
      <x:c r="P9" s="18" t="str">
        <x:v>solve_heat_pde_1d</x:v>
      </x:c>
    </x:row>
    <x:row r="10" ht="42" hidden="0" customHeight="1">
      <x:c r="A10" s="18" t="n">
        <x:v>9</x:v>
      </x:c>
      <x:c r="B10" s="18" t="str">
        <x:v>G004</x:v>
      </x:c>
      <x:c r="C10" s="18" t="str">
        <x:v>G004</x:v>
      </x:c>
      <x:c r="D10" s="18" t="str">
        <x:v>仿真/优化/智能体支撑</x:v>
      </x:c>
      <x:c r="E10" s="18" t="str">
        <x:v>反应ODE求解</x:v>
      </x:c>
      <x:c r="F10" s="18" t="str">
        <x:v>刚性/非刚性ODE自适应积分</x:v>
      </x:c>
      <x:c r="G10" s="18" t="str">
        <x:v>反应网络、速率、初值、时间区间</x:v>
      </x:c>
      <x:c r="H10" s="18" t="str">
        <x:v>状态轨迹、事件、收敛信息</x:v>
      </x:c>
      <x:c r="I10" s="18" t="str">
        <x:v>显式反应网络、速率表达式和初值</x:v>
      </x:c>
      <x:c r="J10" s="18" t="str">
        <x:v>否</x:v>
      </x:c>
      <x:c r="K10" s="18" t="str">
        <x:v>否</x:v>
      </x:c>
      <x:c r="L10" s="18" t="str">
        <x:v>自适应刚性/非刚性ODE积分</x:v>
      </x:c>
      <x:c r="M10" s="18" t="str">
        <x:v>C001,G002</x:v>
      </x:c>
      <x:c r="N10" s="18" t="str">
        <x:v>低</x:v>
      </x:c>
      <x:c r="O10" s="18" t="str">
        <x:v>纯数值求解，不训练</x:v>
      </x:c>
      <x:c r="P10" s="18" t="str">
        <x:v>solve_reaction_ode</x:v>
      </x:c>
    </x:row>
    <x:row r="11" ht="42" hidden="0" customHeight="1">
      <x:c r="A11" s="18" t="n">
        <x:v>10</x:v>
      </x:c>
      <x:c r="B11" s="18" t="str">
        <x:v>G005</x:v>
      </x:c>
      <x:c r="C11" s="18" t="str">
        <x:v>G005</x:v>
      </x:c>
      <x:c r="D11" s="18" t="str">
        <x:v>仿真/优化/智能体支撑</x:v>
      </x:c>
      <x:c r="E11" s="18" t="str">
        <x:v>CFD参数化案例生成</x:v>
      </x:c>
      <x:c r="F11" s="18" t="str">
        <x:v>模板渲染+参数/边界条件校验</x:v>
      </x:c>
      <x:c r="G11" s="18" t="str">
        <x:v>几何模板、物性、工况、求解器设置</x:v>
      </x:c>
      <x:c r="H11" s="18" t="str">
        <x:v>可运行CFD案例目录、manifest</x:v>
      </x:c>
      <x:c r="I11" s="18" t="str">
        <x:v>调用方显式提交几何模板、物性和工况</x:v>
      </x:c>
      <x:c r="J11" s="18" t="str">
        <x:v>否</x:v>
      </x:c>
      <x:c r="K11" s="18" t="str">
        <x:v>否</x:v>
      </x:c>
      <x:c r="L11" s="18" t="str">
        <x:v>OpenFOAM案例模板与schema校验</x:v>
      </x:c>
      <x:c r="M11" s="18" t="str">
        <x:v>G001,G002,G013</x:v>
      </x:c>
      <x:c r="N11" s="18" t="str">
        <x:v>高</x:v>
      </x:c>
      <x:c r="O11" s="18" t="str">
        <x:v>DS042从必需来源中删除</x:v>
      </x:c>
      <x:c r="P11" s="18" t="str">
        <x:v>generate_cfd_case</x:v>
      </x:c>
    </x:row>
    <x:row r="12" ht="42" hidden="0" customHeight="1">
      <x:c r="A12" s="18" t="n">
        <x:v>11</x:v>
      </x:c>
      <x:c r="B12" s="18" t="str">
        <x:v>G006</x:v>
      </x:c>
      <x:c r="C12" s="18" t="str">
        <x:v>G006</x:v>
      </x:c>
      <x:c r="D12" s="18" t="str">
        <x:v>仿真/优化/智能体支撑</x:v>
      </x:c>
      <x:c r="E12" s="18" t="str">
        <x:v>参数化仿真批处理</x:v>
      </x:c>
      <x:c r="F12" s="18" t="str">
        <x:v>参数网格/试验设计+容器队列+失败重试</x:v>
      </x:c>
      <x:c r="G12" s="18" t="str">
        <x:v>案例模板、参数空间、资源配额</x:v>
      </x:c>
      <x:c r="H12" s="18" t="str">
        <x:v>运行状态、结果索引、失败原因</x:v>
      </x:c>
      <x:c r="I12" s="18" t="str">
        <x:v>显式参数空间、案例模板和资源配额</x:v>
      </x:c>
      <x:c r="J12" s="18" t="str">
        <x:v>否</x:v>
      </x:c>
      <x:c r="K12" s="18" t="str">
        <x:v>否</x:v>
      </x:c>
      <x:c r="L12" s="18" t="str">
        <x:v>可复现参数网格、运行manifest和失败重试</x:v>
      </x:c>
      <x:c r="M12" s="18" t="str">
        <x:v>G005,G013</x:v>
      </x:c>
      <x:c r="N12" s="18" t="str">
        <x:v>高</x:v>
      </x:c>
      <x:c r="O12" s="18" t="str">
        <x:v>不读取现场数据；只编排批准案例</x:v>
      </x:c>
      <x:c r="P12" s="18" t="str">
        <x:v>run_parametric_simulation_batch</x:v>
      </x:c>
    </x:row>
    <x:row r="13" ht="42" hidden="0" customHeight="1">
      <x:c r="A13" s="18" t="n">
        <x:v>12</x:v>
      </x:c>
      <x:c r="B13" s="18" t="str">
        <x:v>G008</x:v>
      </x:c>
      <x:c r="C13" s="18" t="str">
        <x:v>G008</x:v>
      </x:c>
      <x:c r="D13" s="18" t="str">
        <x:v>仿真/优化/智能体支撑</x:v>
      </x:c>
      <x:c r="E13" s="18" t="str">
        <x:v>插值与查表服务</x:v>
      </x:c>
      <x:c r="F13" s="18" t="str">
        <x:v>多维规则网格/散点插值+缓存</x:v>
      </x:c>
      <x:c r="G13" s="18" t="str">
        <x:v>查询点、表格版本、外推策略</x:v>
      </x:c>
      <x:c r="H13" s="18" t="str">
        <x:v>插值值、距离、是否外推</x:v>
      </x:c>
      <x:c r="I13" s="18" t="str">
        <x:v>调用方上传或选择版本化查找表</x:v>
      </x:c>
      <x:c r="J13" s="18" t="str">
        <x:v>否</x:v>
      </x:c>
      <x:c r="K13" s="18" t="str">
        <x:v>否</x:v>
      </x:c>
      <x:c r="L13" s="18" t="str">
        <x:v>规则网格/散点插值和外推距离</x:v>
      </x:c>
      <x:c r="M13" s="18" t="str">
        <x:v>A004</x:v>
      </x:c>
      <x:c r="N13" s="18" t="str">
        <x:v>中</x:v>
      </x:c>
      <x:c r="O13" s="18" t="str">
        <x:v>不连接企业实时表</x:v>
      </x:c>
      <x:c r="P13" s="18" t="str">
        <x:v>interpolate_lookup_table</x:v>
      </x:c>
    </x:row>
    <x:row r="14" ht="42" hidden="0" customHeight="1">
      <x:c r="A14" s="18" t="n">
        <x:v>13</x:v>
      </x:c>
      <x:c r="B14" s="18" t="str">
        <x:v>G009</x:v>
      </x:c>
      <x:c r="C14" s="18" t="str">
        <x:v>G009</x:v>
      </x:c>
      <x:c r="D14" s="18" t="str">
        <x:v>仿真/优化/智能体支撑</x:v>
      </x:c>
      <x:c r="E14" s="18" t="str">
        <x:v>敏感性分析</x:v>
      </x:c>
      <x:c r="F14" s="18" t="str">
        <x:v>局部导数、Morris/Sobol可选</x:v>
      </x:c>
      <x:c r="G14" s="18" t="str">
        <x:v>模型、参数范围、采样预算</x:v>
      </x:c>
      <x:c r="H14" s="18" t="str">
        <x:v>敏感度排序、交互效应</x:v>
      </x:c>
      <x:c r="I14" s="18" t="str">
        <x:v>显式模型函数、参数范围和固定采样方案</x:v>
      </x:c>
      <x:c r="J14" s="18" t="str">
        <x:v>否</x:v>
      </x:c>
      <x:c r="K14" s="18" t="str">
        <x:v>否</x:v>
      </x:c>
      <x:c r="L14" s="18" t="str">
        <x:v>局部导数、Morris/Sobol</x:v>
      </x:c>
      <x:c r="M14" s="18" t="str">
        <x:v>A010,G008</x:v>
      </x:c>
      <x:c r="N14" s="18" t="str">
        <x:v>中</x:v>
      </x:c>
      <x:c r="O14" s="18" t="str">
        <x:v>离线分析，不使用历史成功率</x:v>
      </x:c>
      <x:c r="P14" s="18" t="str">
        <x:v>run_sensitivity_analysis</x:v>
      </x:c>
    </x:row>
    <x:row r="15" ht="42" hidden="0" customHeight="1">
      <x:c r="A15" s="18" t="n">
        <x:v>14</x:v>
      </x:c>
      <x:c r="B15" s="18" t="str">
        <x:v>G010</x:v>
      </x:c>
      <x:c r="C15" s="18" t="str">
        <x:v>G010</x:v>
      </x:c>
      <x:c r="D15" s="18" t="str">
        <x:v>仿真/优化/智能体支撑</x:v>
      </x:c>
      <x:c r="E15" s="18" t="str">
        <x:v>Monte Carlo不确定度分析</x:v>
      </x:c>
      <x:c r="F15" s="18" t="str">
        <x:v>输入分布采样+模型批量执行</x:v>
      </x:c>
      <x:c r="G15" s="18" t="str">
        <x:v>模型、输入分布、相关性、样本数</x:v>
      </x:c>
      <x:c r="H15" s="18" t="str">
        <x:v>输出分布、区间、失效概率</x:v>
      </x:c>
      <x:c r="I15" s="18" t="str">
        <x:v>显式概率分布、相关性、样本数和可调用模型</x:v>
      </x:c>
      <x:c r="J15" s="18" t="str">
        <x:v>否</x:v>
      </x:c>
      <x:c r="K15" s="18" t="str">
        <x:v>否</x:v>
      </x:c>
      <x:c r="L15" s="18" t="str">
        <x:v>固定种子Monte Carlo与收敛诊断</x:v>
      </x:c>
      <x:c r="M15" s="18" t="str">
        <x:v>A010,G006</x:v>
      </x:c>
      <x:c r="N15" s="18" t="str">
        <x:v>中</x:v>
      </x:c>
      <x:c r="O15" s="18" t="str">
        <x:v>离线不确定度分析</x:v>
      </x:c>
      <x:c r="P15" s="18" t="str">
        <x:v>run_monte_carlo_uncertainty</x:v>
      </x:c>
    </x:row>
    <x:row r="16" ht="42" hidden="0" customHeight="1">
      <x:c r="A16" s="18" t="n">
        <x:v>15</x:v>
      </x:c>
      <x:c r="B16" s="18" t="str">
        <x:v>G011</x:v>
      </x:c>
      <x:c r="C16" s="18" t="str">
        <x:v>G011</x:v>
      </x:c>
      <x:c r="D16" s="18" t="str">
        <x:v>仿真/优化/智能体支撑</x:v>
      </x:c>
      <x:c r="E16" s="18" t="str">
        <x:v>贝叶斯优化</x:v>
      </x:c>
      <x:c r="F16" s="18" t="str">
        <x:v>离线贝叶斯优化；目标仅来自显式函数或已注册工具</x:v>
      </x:c>
      <x:c r="G16" s="18" t="str">
        <x:v>目标函数、约束、变量范围、预算</x:v>
      </x:c>
      <x:c r="H16" s="18" t="str">
        <x:v>推荐下一组参数、最优历史、置信度</x:v>
      </x:c>
      <x:c r="I16" s="18" t="str">
        <x:v>显式变量域、目标函数、约束和评估预算</x:v>
      </x:c>
      <x:c r="J16" s="18" t="str">
        <x:v>否</x:v>
      </x:c>
      <x:c r="K16" s="18" t="str">
        <x:v>否</x:v>
      </x:c>
      <x:c r="L16" s="18" t="str">
        <x:v>高斯过程/TPE采集函数</x:v>
      </x:c>
      <x:c r="M16" s="18" t="str">
        <x:v>G009,G013</x:v>
      </x:c>
      <x:c r="N16" s="18" t="str">
        <x:v>高</x:v>
      </x:c>
      <x:c r="O16" s="18" t="str">
        <x:v>‘在线’改为离线序贯评估，不连接生产过程</x:v>
      </x:c>
      <x:c r="P16" s="18" t="str">
        <x:v>run_bayesian_optimization</x:v>
      </x:c>
    </x:row>
    <x:row r="17" ht="42" hidden="0" customHeight="1">
      <x:c r="A17" s="18" t="n">
        <x:v>16</x:v>
      </x:c>
      <x:c r="B17" s="18" t="str">
        <x:v>G012</x:v>
      </x:c>
      <x:c r="C17" s="18" t="str">
        <x:v>G012</x:v>
      </x:c>
      <x:c r="D17" s="18" t="str">
        <x:v>仿真/优化/智能体支撑</x:v>
      </x:c>
      <x:c r="E17" s="18" t="str">
        <x:v>多目标优化</x:v>
      </x:c>
      <x:c r="F17" s="18" t="str">
        <x:v>NSGA-II/ε约束/Pyomo</x:v>
      </x:c>
      <x:c r="G17" s="18" t="str">
        <x:v>目标、约束、变量、权重偏好</x:v>
      </x:c>
      <x:c r="H17" s="18" t="str">
        <x:v>Pareto解集、折中解、约束状态</x:v>
      </x:c>
      <x:c r="I17" s="18" t="str">
        <x:v>显式目标、约束、变量范围和偏好</x:v>
      </x:c>
      <x:c r="J17" s="18" t="str">
        <x:v>否</x:v>
      </x:c>
      <x:c r="K17" s="18" t="str">
        <x:v>否</x:v>
      </x:c>
      <x:c r="L17" s="18" t="str">
        <x:v>NSGA-II/ε约束/Pyomo</x:v>
      </x:c>
      <x:c r="M17" s="18" t="str">
        <x:v>G009,G013</x:v>
      </x:c>
      <x:c r="N17" s="18" t="str">
        <x:v>高</x:v>
      </x:c>
      <x:c r="O17" s="18" t="str">
        <x:v>不读取企业历史数据</x:v>
      </x:c>
      <x:c r="P17" s="18" t="str">
        <x:v>run_multiobjective_optimization</x:v>
      </x:c>
    </x:row>
    <x:row r="18" ht="42" hidden="0" customHeight="1">
      <x:c r="A18" s="18" t="n">
        <x:v>17</x:v>
      </x:c>
      <x:c r="B18" s="18" t="str">
        <x:v>G013</x:v>
      </x:c>
      <x:c r="C18" s="18" t="str">
        <x:v>G013</x:v>
      </x:c>
      <x:c r="D18" s="18" t="str">
        <x:v>仿真/优化/智能体支撑</x:v>
      </x:c>
      <x:c r="E18" s="18" t="str">
        <x:v>约束规则校验器</x:v>
      </x:c>
      <x:c r="F18" s="18" t="str">
        <x:v>JSON规则/表达式树/物料能量与工艺边界</x:v>
      </x:c>
      <x:c r="G18" s="18" t="str">
        <x:v>模型输入输出、上下文、规则版本</x:v>
      </x:c>
      <x:c r="H18" s="18" t="str">
        <x:v>通过/失败、违反规则、修复建议</x:v>
      </x:c>
      <x:c r="I18" s="18" t="str">
        <x:v>显式模型输入输出与版本化JSON规则</x:v>
      </x:c>
      <x:c r="J18" s="18" t="str">
        <x:v>否</x:v>
      </x:c>
      <x:c r="K18" s="18" t="str">
        <x:v>否</x:v>
      </x:c>
      <x:c r="L18" s="18" t="str">
        <x:v>表达式树、物料/能量与工艺边界</x:v>
      </x:c>
      <x:c r="M18" s="18" t="str">
        <x:v>A005</x:v>
      </x:c>
      <x:c r="N18" s="18" t="str">
        <x:v>高</x:v>
      </x:c>
      <x:c r="O18" s="18" t="str">
        <x:v>规则由仓库版本化，不从专家历史自动学习</x:v>
      </x:c>
      <x:c r="P18" s="18" t="str">
        <x:v>validate_constraints</x:v>
      </x:c>
    </x:row>
    <x:row r="19" ht="42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</x:row>
    <x:row r="20" ht="42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</x:row>
    <x:row r="21" ht="42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</x:row>
    <x:row r="22" ht="42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</x:row>
    <x:row r="23" ht="42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</x:row>
    <x:row r="24" ht="42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</x:row>
    <x:row r="25" ht="42" hidden="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</x:row>
    <x:row r="26" ht="42" hidden="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</x:row>
    <x:row r="27" ht="42" hidden="0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 ht="42" hidden="0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 ht="42" hidden="0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 ht="42" hidden="0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 ht="42" hidden="0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 ht="42" hidden="0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 ht="42" hidden="0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</x:sheetData>
  <x:conditionalFormatting sqref="J2:K33">
    <x:cfRule type="containsText" dxfId="1" priority="1" operator="containsText" text="否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22" hidden="0" customWidth="1"/>
    <x:col min="4" max="4" width="26" hidden="0" customWidth="1"/>
    <x:col min="5" max="5" width="42" hidden="0" customWidth="1"/>
    <x:col min="6" max="6" width="44" hidden="0" customWidth="1"/>
    <x:col min="7" max="7" width="44" hidden="0" customWidth="1"/>
    <x:col min="8" max="8" width="46" hidden="0" customWidth="1"/>
    <x:col min="9" max="9" width="38" hidden="0" customWidth="1"/>
    <x:col min="10" max="10" width="15" hidden="0" customWidth="1"/>
    <x:col min="11" max="11" width="13" hidden="0" customWidth="1"/>
    <x:col min="12" max="12" width="42" hidden="0" customWidth="1"/>
    <x:col min="13" max="13" width="38" hidden="0" customWidth="1"/>
    <x:col min="14" max="14" width="28" hidden="0" customWidth="1"/>
    <x:col min="15" max="15" width="20" hidden="0" customWidth="1"/>
    <x:col min="16" max="16" width="10" hidden="0" customWidth="1"/>
    <x:col min="17" max="17" width="38" hidden="0" customWidth="1"/>
    <x:col min="18" max="18" width="34" hidden="0" customWidth="1"/>
  </x:cols>
  <x:sheetData>
    <x:row r="1" ht="15" hidden="0" customHeight="1">
      <x:c r="A1" s="13" t="str">
        <x:v>顺序</x:v>
      </x:c>
      <x:c r="B1" s="13" t="str">
        <x:v>新ID</x:v>
      </x:c>
      <x:c r="C1" s="13" t="str">
        <x:v>场景</x:v>
      </x:c>
      <x:c r="D1" s="13" t="str">
        <x:v>工具名称</x:v>
      </x:c>
      <x:c r="E1" s="13" t="str">
        <x:v>核心方法</x:v>
      </x:c>
      <x:c r="F1" s="13" t="str">
        <x:v>主要输入/单位</x:v>
      </x:c>
      <x:c r="G1" s="13" t="str">
        <x:v>主要输出/单位</x:v>
      </x:c>
      <x:c r="H1" s="13" t="str">
        <x:v>适用域与失败条件</x:v>
      </x:c>
      <x:c r="I1" s="13" t="str">
        <x:v>参考依据</x:v>
      </x:c>
      <x:c r="J1" s="13" t="str">
        <x:v>现场数据依赖</x:v>
      </x:c>
      <x:c r="K1" s="13" t="str">
        <x:v>训练/权重</x:v>
      </x:c>
      <x:c r="L1" s="13" t="str">
        <x:v>与现有工具区别</x:v>
      </x:c>
      <x:c r="M1" s="13" t="str">
        <x:v>重叠关系</x:v>
      </x:c>
      <x:c r="N1" s="13" t="str">
        <x:v>上游依赖</x:v>
      </x:c>
      <x:c r="O1" s="13" t="str">
        <x:v>依据类型</x:v>
      </x:c>
      <x:c r="P1" s="13" t="str">
        <x:v>难度</x:v>
      </x:c>
      <x:c r="Q1" s="13" t="str">
        <x:v>独立验证</x:v>
      </x:c>
      <x:c r="R1" s="13" t="str">
        <x:v>API函数名</x:v>
      </x:c>
    </x:row>
    <x:row r="2" ht="42" hidden="0" customHeight="1">
      <x:c r="A2" s="18" t="n">
        <x:v>1</x:v>
      </x:c>
      <x:c r="B2" s="18" t="str">
        <x:v>A011</x:v>
      </x:c>
      <x:c r="C2" s="18" t="str">
        <x:v>通用数据与校验</x:v>
      </x:c>
      <x:c r="D2" s="18" t="str">
        <x:v>反应计量系数求解</x:v>
      </x:c>
      <x:c r="E2" s="18" t="str">
        <x:v>元素/电荷计量矩阵零空间求解与最小整数化</x:v>
      </x:c>
      <x:c r="F2" s="18" t="str">
        <x:v>反应物/产物化学式列表、可选电荷与固定系数</x:v>
      </x:c>
      <x:c r="G2" s="18" t="str">
        <x:v>最小整数计量系数、元素/电荷残差、解唯一性</x:v>
      </x:c>
      <x:c r="H2" s="18" t="str">
        <x:v>可解析化学式；矩阵存在非零守恒解</x:v>
      </x:c>
      <x:c r="I2" s="18" t="str">
        <x:v>线性代数零空间、元素与电荷守恒</x:v>
      </x:c>
      <x:c r="J2" s="18" t="str">
        <x:v>否</x:v>
      </x:c>
      <x:c r="K2" s="18" t="str">
        <x:v>否</x:v>
      </x:c>
      <x:c r="L2" s="18" t="str">
        <x:v>区别A006：A006校验既有反应；A011主动求解未知系数</x:v>
      </x:c>
      <x:c r="M2" s="18" t="str">
        <x:v>与A006输出残差重叠；A011是A006上游</x:v>
      </x:c>
      <x:c r="N2" s="18" t="str">
        <x:v>A002,A003,A101</x:v>
      </x:c>
      <x:c r="O2" s="18" t="str">
        <x:v>公式</x:v>
      </x:c>
      <x:c r="P2" s="18" t="str">
        <x:v>中</x:v>
      </x:c>
      <x:c r="Q2" s="18" t="str">
        <x:v>手配反应；系数尺度不变性；无解/欠定失败</x:v>
      </x:c>
      <x:c r="R2" s="18" t="str">
        <x:v>solve_reaction_stoichiometry</x:v>
      </x:c>
    </x:row>
    <x:row r="3" ht="42" hidden="0" customHeight="1">
      <x:c r="A3" s="18" t="n">
        <x:v>2</x:v>
      </x:c>
      <x:c r="B3" s="18" t="str">
        <x:v>B026</x:v>
      </x:c>
      <x:c r="C3" s="18" t="str">
        <x:v>热力学与相平衡</x:v>
      </x:c>
      <x:c r="D3" s="18" t="str">
        <x:v>Peng–Robinson状态方程与逸度</x:v>
      </x:c>
      <x:c r="E3" s="18" t="str">
        <x:v>PR三次状态方程、根选择和纯组元逸度系数</x:v>
      </x:c>
      <x:c r="F3" s="18" t="str">
        <x:v>T[K]、P[Pa]、Tc[K]、Pc[Pa]、偏心因子</x:v>
      </x:c>
      <x:c r="G3" s="18" t="str">
        <x:v>Z、逸度系数、逸度[Pa]、根与相态提示</x:v>
      </x:c>
      <x:c r="H3" s="18" t="str">
        <x:v>纯流体；远离强缔合/电解质体系</x:v>
      </x:c>
      <x:c r="I3" s="18" t="str">
        <x:v>Peng–Robinson 1976状态方程</x:v>
      </x:c>
      <x:c r="J3" s="18" t="str">
        <x:v>否</x:v>
      </x:c>
      <x:c r="K3" s="18" t="str">
        <x:v>否</x:v>
      </x:c>
      <x:c r="L3" s="18" t="str">
        <x:v>区别B013理想气体平衡：B026处理非理想纯流体</x:v>
      </x:c>
      <x:c r="M3" s="18" t="str">
        <x:v>与B013在低压极限Z→1重叠</x:v>
      </x:c>
      <x:c r="N3" s="18" t="str">
        <x:v>B005</x:v>
      </x:c>
      <x:c r="O3" s="18" t="str">
        <x:v>公式+显式物性</x:v>
      </x:c>
      <x:c r="P3" s="18" t="str">
        <x:v>中</x:v>
      </x:c>
      <x:c r="Q3" s="18" t="str">
        <x:v>低压理想极限；三次根残差；非法临界参数失败</x:v>
      </x:c>
      <x:c r="R3" s="18" t="str">
        <x:v>calc_peng_robinson_fugacity</x:v>
      </x:c>
    </x:row>
    <x:row r="4" ht="42" hidden="0" customHeight="1">
      <x:c r="A4" s="18" t="n">
        <x:v>3</x:v>
      </x:c>
      <x:c r="B4" s="18" t="str">
        <x:v>B027</x:v>
      </x:c>
      <x:c r="C4" s="18" t="str">
        <x:v>热力学与相平衡</x:v>
      </x:c>
      <x:c r="D4" s="18" t="str">
        <x:v>理想气液泡点/露点</x:v>
      </x:c>
      <x:c r="E4" s="18" t="str">
        <x:v>Raoult定律、Antoine蒸气压与有界求根</x:v>
      </x:c>
      <x:c r="F4" s="18" t="str">
        <x:v>液/气相组成、总压或温度、Antoine系数及温区</x:v>
      </x:c>
      <x:c r="G4" s="18" t="str">
        <x:v>泡点/露点T[K]或P[Pa]、相组成、闭合残差</x:v>
      </x:c>
      <x:c r="H4" s="18" t="str">
        <x:v>低压理想液相/理想气相；系数温区内</x:v>
      </x:c>
      <x:c r="I4" s="18" t="str">
        <x:v>Raoult定律与Antoine方程</x:v>
      </x:c>
      <x:c r="J4" s="18" t="str">
        <x:v>否</x:v>
      </x:c>
      <x:c r="K4" s="18" t="str">
        <x:v>否</x:v>
      </x:c>
      <x:c r="L4" s="18" t="str">
        <x:v>区别B014活度：B027求相变边界事件</x:v>
      </x:c>
      <x:c r="M4" s="18" t="str">
        <x:v>理想活度采用B014；可与B020相界插值对照</x:v>
      </x:c>
      <x:c r="N4" s="18" t="str">
        <x:v>B014</x:v>
      </x:c>
      <x:c r="O4" s="18" t="str">
        <x:v>公式+版本化公开系数</x:v>
      </x:c>
      <x:c r="P4" s="18" t="str">
        <x:v>中</x:v>
      </x:c>
      <x:c r="Q4" s="18" t="str">
        <x:v>纯组元极限；组成归一；泡/露点互逆；越温区失败</x:v>
      </x:c>
      <x:c r="R4" s="18" t="str">
        <x:v>solve_ideal_vle_bubble_dew</x:v>
      </x:c>
    </x:row>
    <x:row r="5" ht="42" hidden="0" customHeight="1">
      <x:c r="A5" s="18" t="n">
        <x:v>4</x:v>
      </x:c>
      <x:c r="B5" s="18" t="str">
        <x:v>C011</x:v>
      </x:c>
      <x:c r="C5" s="18" t="str">
        <x:v>动力学与传递</x:v>
      </x:c>
      <x:c r="D5" s="18" t="str">
        <x:v>传递过程无量纲数</x:v>
      </x:c>
      <x:c r="E5" s="18" t="str">
        <x:v>Re、Pr、Sc、Pe、Nu/Sh输入一致性计算</x:v>
      </x:c>
      <x:c r="F5" s="18" t="str">
        <x:v>ρ[kg/m3]、u[m/s]、L[m]、μ[Pa·s]、cp[J/kg/K]、k[W/m/K]、D[m2/s]</x:v>
      </x:c>
      <x:c r="G5" s="18" t="str">
        <x:v>Re、Pr、Sc、Pe热/质、恒等残差</x:v>
      </x:c>
      <x:c r="H5" s="18" t="str">
        <x:v>连续介质；正物性与正特征尺度</x:v>
      </x:c>
      <x:c r="I5" s="18" t="str">
        <x:v>传热传质无量纲定义</x:v>
      </x:c>
      <x:c r="J5" s="18" t="str">
        <x:v>否</x:v>
      </x:c>
      <x:c r="K5" s="18" t="str">
        <x:v>否</x:v>
      </x:c>
      <x:c r="L5" s="18" t="str">
        <x:v>区别G001：C011计算工况相似准则，不推荐网格</x:v>
      </x:c>
      <x:c r="M5" s="18" t="str">
        <x:v>为C010、C012、G001提供输入</x:v>
      </x:c>
      <x:c r="N5" s="18" t="str">
        <x:v>A001</x:v>
      </x:c>
      <x:c r="O5" s="18" t="str">
        <x:v>公式</x:v>
      </x:c>
      <x:c r="P5" s="18" t="str">
        <x:v>低</x:v>
      </x:c>
      <x:c r="Q5" s="18" t="str">
        <x:v>Pe=Re·Pr/Sc恒等；尺度相似；零黏度失败</x:v>
      </x:c>
      <x:c r="R5" s="18" t="str">
        <x:v>calc_transport_dimensionless_numbers</x:v>
      </x:c>
    </x:row>
    <x:row r="6" ht="42" hidden="0" customHeight="1">
      <x:c r="A6" s="18" t="n">
        <x:v>5</x:v>
      </x:c>
      <x:c r="B6" s="18" t="str">
        <x:v>C012</x:v>
      </x:c>
      <x:c r="C6" s="18" t="str">
        <x:v>动力学与传递</x:v>
      </x:c>
      <x:c r="D6" s="18" t="str">
        <x:v>外流对流换热/传质系数</x:v>
      </x:c>
      <x:c r="E6" s="18" t="str">
        <x:v>平板、圆柱、球体的分段Nu/Sh关联式</x:v>
      </x:c>
      <x:c r="F6" s="18" t="str">
        <x:v>几何、Re、Pr/Sc、k[W/m/K]或D[m2/s]、L[m]</x:v>
      </x:c>
      <x:c r="G6" s="18" t="str">
        <x:v>Nu/Sh、h[W/m2/K]或km[m/s]、关联式与适用域</x:v>
      </x:c>
      <x:c r="H6" s="18" t="str">
        <x:v>仅支持明确几何和关联式Re/Pr/Sc范围</x:v>
      </x:c>
      <x:c r="I6" s="18" t="str">
        <x:v>经典外流边界层与Ranz–Marshall类关联式</x:v>
      </x:c>
      <x:c r="J6" s="18" t="str">
        <x:v>否</x:v>
      </x:c>
      <x:c r="K6" s="18" t="str">
        <x:v>否</x:v>
      </x:c>
      <x:c r="L6" s="18" t="str">
        <x:v>区别C010填充床；C012处理孤立外流几何</x:v>
      </x:c>
      <x:c r="M6" s="18" t="str">
        <x:v>热/质传递同构；输入可由C011生成</x:v>
      </x:c>
      <x:c r="N6" s="18" t="str">
        <x:v>C011</x:v>
      </x:c>
      <x:c r="O6" s="18" t="str">
        <x:v>公式</x:v>
      </x:c>
      <x:c r="P6" s="18" t="str">
        <x:v>中</x:v>
      </x:c>
      <x:c r="Q6" s="18" t="str">
        <x:v>无量纲反算；层流极限；超关联式范围失败</x:v>
      </x:c>
      <x:c r="R6" s="18" t="str">
        <x:v>calc_external_convection_transfer</x:v>
      </x:c>
    </x:row>
    <x:row r="7" ht="42" hidden="0" customHeight="1">
      <x:c r="A7" s="18" t="n">
        <x:v>6</x:v>
      </x:c>
      <x:c r="B7" s="18" t="str">
        <x:v>T003</x:v>
      </x:c>
      <x:c r="C7" s="18" t="str">
        <x:v>传热基础</x:v>
      </x:c>
      <x:c r="D7" s="18" t="str">
        <x:v>集总热容瞬态温度</x:v>
      </x:c>
      <x:c r="E7" s="18" t="str">
        <x:v>Bi&lt;0.1下的一阶集中参数能量方程</x:v>
      </x:c>
      <x:c r="F7" s="18" t="str">
        <x:v>ρ[kg/m3]、cp[J/kg/K]、V[m3]、A[m2]、h[W/m2/K]、k[W/m/K]、Lc[m]、T0/T∞[K]、t[s]</x:v>
      </x:c>
      <x:c r="G7" s="18" t="str">
        <x:v>T(t)[K]、热量[J]、Bi、时间常数[s]、适用性</x:v>
      </x:c>
      <x:c r="H7" s="18" t="str">
        <x:v>Bi&lt;0.1；均匀初温与恒环境</x:v>
      </x:c>
      <x:c r="I7" s="18" t="str">
        <x:v>Newton冷却定律与集总热容法</x:v>
      </x:c>
      <x:c r="J7" s="18" t="str">
        <x:v>否</x:v>
      </x:c>
      <x:c r="K7" s="18" t="str">
        <x:v>否</x:v>
      </x:c>
      <x:c r="L7" s="18" t="str">
        <x:v>区别T001稳态导热和G003空间PDE</x:v>
      </x:c>
      <x:c r="M7" s="18" t="str">
        <x:v>与G003在小Bi极限可交叉验证</x:v>
      </x:c>
      <x:c r="N7" s="18" t="str">
        <x:v>A001</x:v>
      </x:c>
      <x:c r="O7" s="18" t="str">
        <x:v>公式</x:v>
      </x:c>
      <x:c r="P7" s="18" t="str">
        <x:v>低</x:v>
      </x:c>
      <x:c r="Q7" s="18" t="str">
        <x:v>t=0/∞极限；指数单调；Bi超域失败</x:v>
      </x:c>
      <x:c r="R7" s="18" t="str">
        <x:v>calc_lumped_transient_temperature</x:v>
      </x:c>
    </x:row>
    <x:row r="8" ht="42" hidden="0" customHeight="1">
      <x:c r="A8" s="18" t="n">
        <x:v>7</x:v>
      </x:c>
      <x:c r="B8" s="18" t="str">
        <x:v>T004</x:v>
      </x:c>
      <x:c r="C8" s="18" t="str">
        <x:v>传热基础</x:v>
      </x:c>
      <x:c r="D8" s="18" t="str">
        <x:v>多层热阻网络</x:v>
      </x:c>
      <x:c r="E8" s="18" t="str">
        <x:v>平板多层导热、接触热阻及两侧对流串联</x:v>
      </x:c>
      <x:c r="F8" s="18" t="str">
        <x:v>各层L[m]/k[W/m/K]/A[m2]、接触热阻[K/W]、h边界、温度[K]</x:v>
      </x:c>
      <x:c r="G8" s="18" t="str">
        <x:v>总热阻[K/W]、热流[W]、各界面温度[K]、闭合残差</x:v>
      </x:c>
      <x:c r="H8" s="18" t="str">
        <x:v>一维稳态、恒物性、串联系统</x:v>
      </x:c>
      <x:c r="I8" s="18" t="str">
        <x:v>Fourier定律与热阻网络</x:v>
      </x:c>
      <x:c r="J8" s="18" t="str">
        <x:v>否</x:v>
      </x:c>
      <x:c r="K8" s="18" t="str">
        <x:v>否</x:v>
      </x:c>
      <x:c r="L8" s="18" t="str">
        <x:v>区别T001单层平板；T004给出多层界面温度</x:v>
      </x:c>
      <x:c r="M8" s="18" t="str">
        <x:v>单层极限应回归T001</x:v>
      </x:c>
      <x:c r="N8" s="18" t="str">
        <x:v>T001</x:v>
      </x:c>
      <x:c r="O8" s="18" t="str">
        <x:v>公式</x:v>
      </x:c>
      <x:c r="P8" s="18" t="str">
        <x:v>低</x:v>
      </x:c>
      <x:c r="Q8" s="18" t="str">
        <x:v>单层等价；热阻可加；界面温度单调；负k失败</x:v>
      </x:c>
      <x:c r="R8" s="18" t="str">
        <x:v>calc_multilayer_thermal_resistance</x:v>
      </x:c>
    </x:row>
    <x:row r="9" ht="42" hidden="0" customHeight="1">
      <x:c r="A9" s="18" t="n">
        <x:v>8</x:v>
      </x:c>
      <x:c r="B9" s="18" t="str">
        <x:v>D022</x:v>
      </x:c>
      <x:c r="C9" s="18" t="str">
        <x:v>转炉炼钢</x:v>
      </x:c>
      <x:c r="D9" s="18" t="str">
        <x:v>钢水收得率与铁损分解</x:v>
      </x:c>
      <x:c r="E9" s="18" t="str">
        <x:v>装入铁量—钢水铁量—渣尘喷溅铁量闭合</x:v>
      </x:c>
      <x:c r="F9" s="18" t="str">
        <x:v>装料/钢水/炉渣/烟尘/喷溅质量[kg]及Fe分数</x:v>
      </x:c>
      <x:c r="G9" s="18" t="str">
        <x:v>钢水收得率[%]、各路径铁损[kg]、总铁闭合率[%]</x:v>
      </x:c>
      <x:c r="H9" s="18" t="str">
        <x:v>批次静态衡算；所有物流基准一致</x:v>
      </x:c>
      <x:c r="I9" s="18" t="str">
        <x:v>铁元素与总质量守恒</x:v>
      </x:c>
      <x:c r="J9" s="18" t="str">
        <x:v>否</x:v>
      </x:c>
      <x:c r="K9" s="18" t="str">
        <x:v>否</x:v>
      </x:c>
      <x:c r="L9" s="18" t="str">
        <x:v>区别D014：D014由渣TFe算渣铁损；D022分解全流程铁损</x:v>
      </x:c>
      <x:c r="M9" s="18" t="str">
        <x:v>复用A005、D021、D014并汇总不同损失路径</x:v>
      </x:c>
      <x:c r="N9" s="18" t="str">
        <x:v>A004,A005,D014,D021</x:v>
      </x:c>
      <x:c r="O9" s="18" t="str">
        <x:v>公式</x:v>
      </x:c>
      <x:c r="P9" s="18" t="str">
        <x:v>中</x:v>
      </x:c>
      <x:c r="Q9" s="18" t="str">
        <x:v>闭合构造例；损失分项和等于总损失；负质量失败</x:v>
      </x:c>
      <x:c r="R9" s="18" t="str">
        <x:v>calc_bof_steel_yield_iron_loss</x:v>
      </x:c>
    </x:row>
    <x:row r="10" ht="42" hidden="0" customHeight="1">
      <x:c r="A10" s="18" t="n">
        <x:v>9</x:v>
      </x:c>
      <x:c r="B10" s="18" t="str">
        <x:v>D023</x:v>
      </x:c>
      <x:c r="C10" s="18" t="str">
        <x:v>转炉炼钢</x:v>
      </x:c>
      <x:c r="D10" s="18" t="str">
        <x:v>单种合金补加量</x:v>
      </x:c>
      <x:c r="E10" s="18" t="str">
        <x:v>目标溶质质量守恒与显式收得率修正</x:v>
      </x:c>
      <x:c r="F10" s="18" t="str">
        <x:v>钢水质量[kg]、初始/目标质量分数、合金含量、收得率</x:v>
      </x:c>
      <x:c r="G10" s="18" t="str">
        <x:v>合金加入量[kg]、预测终点成分、溶质闭合残差</x:v>
      </x:c>
      <x:c r="H10" s="18" t="str">
        <x:v>单种合金、恒定显式收得率、无挥发耦合</x:v>
      </x:c>
      <x:c r="I10" s="18" t="str">
        <x:v>溶质质量守恒</x:v>
      </x:c>
      <x:c r="J10" s="18" t="str">
        <x:v>否</x:v>
      </x:c>
      <x:c r="K10" s="18" t="str">
        <x:v>否</x:v>
      </x:c>
      <x:c r="L10" s="18" t="str">
        <x:v>区别D019多合金成本优化：D023是单合金闭式原子工具</x:v>
      </x:c>
      <x:c r="M10" s="18" t="str">
        <x:v>可作为D019候选量和边界检查</x:v>
      </x:c>
      <x:c r="N10" s="18" t="str">
        <x:v>A004,A005</x:v>
      </x:c>
      <x:c r="O10" s="18" t="str">
        <x:v>公式</x:v>
      </x:c>
      <x:c r="P10" s="18" t="str">
        <x:v>低</x:v>
      </x:c>
      <x:c r="Q10" s="18" t="str">
        <x:v>100%收得率手算；目标等于初始边界；不可达目标失败</x:v>
      </x:c>
      <x:c r="R10" s="18" t="str">
        <x:v>calc_single_alloy_trim_addition</x:v>
      </x:c>
    </x:row>
    <x:row r="11" ht="42" hidden="0" customHeight="1">
      <x:c r="A11" s="18" t="n">
        <x:v>10</x:v>
      </x:c>
      <x:c r="B11" s="18" t="str">
        <x:v>E021</x:v>
      </x:c>
      <x:c r="C11" s="18" t="str">
        <x:v>高炉低碳</x:v>
      </x:c>
      <x:c r="D11" s="18" t="str">
        <x:v>Boudouard反应平衡驱动力</x:v>
      </x:c>
      <x:c r="E11" s="18" t="str">
        <x:v>C+CO2⇌2CO的Kp、反应商与ΔG驱动力</x:v>
      </x:c>
      <x:c r="F11" s="18" t="str">
        <x:v>T[K]、pCO/pCO2[Pa]、碳活度、可选上游ΔG°</x:v>
      </x:c>
      <x:c r="G11" s="18" t="str">
        <x:v>Kp、Q、ΔG[J/mol]、平衡方向与CO/CO2临界比</x:v>
      </x:c>
      <x:c r="H11" s="18" t="str">
        <x:v>气体理想、碳标准态明确、热力学数据温区内</x:v>
      </x:c>
      <x:c r="I11" s="18" t="str">
        <x:v>化学势、ΔG=RTln(Q/K)</x:v>
      </x:c>
      <x:c r="J11" s="18" t="str">
        <x:v>否</x:v>
      </x:c>
      <x:c r="K11" s="18" t="str">
        <x:v>否</x:v>
      </x:c>
      <x:c r="L11" s="18" t="str">
        <x:v>区别E011气体利用率：E021判断碳气化平衡方向</x:v>
      </x:c>
      <x:c r="M11" s="18" t="str">
        <x:v>可与B009直接复核Kp</x:v>
      </x:c>
      <x:c r="N11" s="18" t="str">
        <x:v>B008,B009</x:v>
      </x:c>
      <x:c r="O11" s="18" t="str">
        <x:v>公式+既有热力学资产</x:v>
      </x:c>
      <x:c r="P11" s="18" t="str">
        <x:v>中</x:v>
      </x:c>
      <x:c r="Q11" s="18" t="str">
        <x:v>Q=K零驱动力；压力尺度一致；非正分压失败</x:v>
      </x:c>
      <x:c r="R11" s="18" t="str">
        <x:v>calc_boudouard_equilibrium</x:v>
      </x:c>
    </x:row>
    <x:row r="12" ht="42" hidden="0" customHeight="1">
      <x:c r="A12" s="18" t="n">
        <x:v>11</x:v>
      </x:c>
      <x:c r="B12" s="18" t="str">
        <x:v>E022</x:v>
      </x:c>
      <x:c r="C12" s="18" t="str">
        <x:v>高炉低碳</x:v>
      </x:c>
      <x:c r="D12" s="18" t="str">
        <x:v>铁氧化物逐级还原平衡</x:v>
      </x:c>
      <x:c r="E12" s="18" t="str">
        <x:v>Fe2O3/Fe3O4/FeO/Fe各级CO或H2还原的Kp与气比</x:v>
      </x:c>
      <x:c r="F12" s="18" t="str">
        <x:v>反应级、还原气类型、T[K]、气体分压或组成</x:v>
      </x:c>
      <x:c r="G12" s="18" t="str">
        <x:v>平衡CO/CO2或H2/H2O比、Q/K、ΔG与方向</x:v>
      </x:c>
      <x:c r="H12" s="18" t="str">
        <x:v>指定纯固相标准态、理想气体、支持温区内</x:v>
      </x:c>
      <x:c r="I12" s="18" t="str">
        <x:v>逐级氧化还原反应热力学</x:v>
      </x:c>
      <x:c r="J12" s="18" t="str">
        <x:v>否</x:v>
      </x:c>
      <x:c r="K12" s="18" t="str">
        <x:v>否</x:v>
      </x:c>
      <x:c r="L12" s="18" t="str">
        <x:v>区别E002总铁平衡：E022给出各级热力学边界</x:v>
      </x:c>
      <x:c r="M12" s="18" t="str">
        <x:v>与E011实际利用率比较可判断平衡裕量</x:v>
      </x:c>
      <x:c r="N12" s="18" t="str">
        <x:v>A006,B008,B009,E011</x:v>
      </x:c>
      <x:c r="O12" s="18" t="str">
        <x:v>公式+既有热力学资产</x:v>
      </x:c>
      <x:c r="P12" s="18" t="str">
        <x:v>中</x:v>
      </x:c>
      <x:c r="Q12" s="18" t="str">
        <x:v>Q=K；逆反应K互为倒数；不支持相级失败</x:v>
      </x:c>
      <x:c r="R12" s="18" t="str">
        <x:v>calc_iron_oxide_reduction_equilibrium</x:v>
      </x:c>
    </x:row>
    <x:row r="13" ht="42" hidden="0" customHeight="1">
      <x:c r="A13" s="18" t="n">
        <x:v>12</x:v>
      </x:c>
      <x:c r="B13" s="18" t="str">
        <x:v>H001</x:v>
      </x:c>
      <x:c r="C13" s="18" t="str">
        <x:v>炉外精炼与洁净钢</x:v>
      </x:c>
      <x:c r="D13" s="18" t="str">
        <x:v>钢液脱氧平衡</x:v>
      </x:c>
      <x:c r="E13" s="18" t="str">
        <x:v>Al/Si/Mn脱氧反应平衡与显式活度修正</x:v>
      </x:c>
      <x:c r="F13" s="18" t="str">
        <x:v>脱氧剂/氧活度、T[K]、K或ΔG°、交互参数</x:v>
      </x:c>
      <x:c r="G13" s="18" t="str">
        <x:v>平衡氧、所需脱氧剂、Q/K、夹杂物计量量</x:v>
      </x:c>
      <x:c r="H13" s="18" t="str">
        <x:v>指定标准态和稀溶液模型；不替代生产收得率标定</x:v>
      </x:c>
      <x:c r="I13" s="18" t="str">
        <x:v>脱氧反应平衡与Wagner一阶相互作用</x:v>
      </x:c>
      <x:c r="J13" s="18" t="str">
        <x:v>否</x:v>
      </x:c>
      <x:c r="K13" s="18" t="str">
        <x:v>否</x:v>
      </x:c>
      <x:c r="L13" s="18" t="str">
        <x:v>新增炉外精炼能力；区别A007通用氧当量</x:v>
      </x:c>
      <x:c r="M13" s="18" t="str">
        <x:v>复用B009、B014-B017并与A007做计量核对</x:v>
      </x:c>
      <x:c r="N13" s="18" t="str">
        <x:v>A007,B009,B014-B017</x:v>
      </x:c>
      <x:c r="O13" s="18" t="str">
        <x:v>公式+显式参数</x:v>
      </x:c>
      <x:c r="P13" s="18" t="str">
        <x:v>中</x:v>
      </x:c>
      <x:c r="Q13" s="18" t="str">
        <x:v>理想稀溶液极限；计量守恒；标准态不一致失败</x:v>
      </x:c>
      <x:c r="R13" s="18" t="str">
        <x:v>calc_steel_deoxidation_equilibrium</x:v>
      </x:c>
    </x:row>
    <x:row r="14" ht="42" hidden="0" customHeight="1">
      <x:c r="A14" s="18" t="n">
        <x:v>13</x:v>
      </x:c>
      <x:c r="B14" s="18" t="str">
        <x:v>H002</x:v>
      </x:c>
      <x:c r="C14" s="18" t="str">
        <x:v>炉外精炼与洁净钢</x:v>
      </x:c>
      <x:c r="D14" s="18" t="str">
        <x:v>钢包脱硫平衡与脱除量</x:v>
      </x:c>
      <x:c r="E14" s="18" t="str">
        <x:v>钢渣硫分配、硫容量或显式分配比的批次衡算</x:v>
      </x:c>
      <x:c r="F14" s="18" t="str">
        <x:v>钢/渣质量[kg]、初始S、分配比或硫容量、平衡接近率</x:v>
      </x:c>
      <x:c r="G14" s="18" t="str">
        <x:v>终点钢中S、脱硫率、渣中S、硫闭合残差</x:v>
      </x:c>
      <x:c r="H14" s="18" t="str">
        <x:v>批次两相平衡；参数标准态与温度明确</x:v>
      </x:c>
      <x:c r="I14" s="18" t="str">
        <x:v>钢渣硫质量守恒与分配平衡</x:v>
      </x:c>
      <x:c r="J14" s="18" t="str">
        <x:v>否</x:v>
      </x:c>
      <x:c r="K14" s="18" t="str">
        <x:v>否</x:v>
      </x:c>
      <x:c r="L14" s="18" t="str">
        <x:v>区别D011转炉硫分配：H002面向低氧钢包精炼</x:v>
      </x:c>
      <x:c r="M14" s="18" t="str">
        <x:v>与D011输出分配比重叠但适用域不同</x:v>
      </x:c>
      <x:c r="N14" s="18" t="str">
        <x:v>A005,B014-B017</x:v>
      </x:c>
      <x:c r="O14" s="18" t="str">
        <x:v>公式+显式/公开参数</x:v>
      </x:c>
      <x:c r="P14" s="18" t="str">
        <x:v>中</x:v>
      </x:c>
      <x:c r="Q14" s="18" t="str">
        <x:v>总硫守恒；无限分配比极限；负分配比失败</x:v>
      </x:c>
      <x:c r="R14" s="18" t="str">
        <x:v>calc_ladle_desulfurization_equilibrium</x:v>
      </x:c>
    </x:row>
    <x:row r="15" ht="42" hidden="0" customHeight="1">
      <x:c r="A15" s="19" t="n">
        <x:v>14</x:v>
      </x:c>
      <x:c r="B15" s="19" t="str">
        <x:v>H003</x:v>
      </x:c>
      <x:c r="C15" s="19" t="str">
        <x:v>炉外精炼与洁净钢</x:v>
      </x:c>
      <x:c r="D15" s="19" t="str">
        <x:v>氩气搅拌混合时间</x:v>
      </x:c>
      <x:c r="E15" s="19" t="str">
        <x:v>气体搅拌比功率与公开无量纲混合时间关联</x:v>
      </x:c>
      <x:c r="F15" s="19" t="str">
        <x:v>钢液质量[kg]、温度[K]、钢包几何[m]、氩气流量[Nm3/s]、压力</x:v>
      </x:c>
      <x:c r="G15" s="19" t="str">
        <x:v>比搅拌功率[W/t]、混合时间[s]、关联式适用性</x:v>
      </x:c>
      <x:c r="H15" s="19" t="str">
        <x:v>钢包气体搅拌；仅在所选公开关联式范围内</x:v>
      </x:c>
      <x:c r="I15" s="19" t="str">
        <x:v>气泡膨胀功与钢包混合时间经验关联</x:v>
      </x:c>
      <x:c r="J15" s="19" t="str">
        <x:v>否</x:v>
      </x:c>
      <x:c r="K15" s="19" t="str">
        <x:v>否</x:v>
      </x:c>
      <x:c r="L15" s="19" t="str">
        <x:v>新增精炼传递能力；不依赖搅拌传感器或历史炉次</x:v>
      </x:c>
      <x:c r="M15" s="19" t="str">
        <x:v>可为H001/H002提供达到平衡的时间尺度</x:v>
      </x:c>
      <x:c r="N15" s="19" t="str">
        <x:v>A001,C011</x:v>
      </x:c>
      <x:c r="O15" s="19" t="str">
        <x:v>公开关联式+显式几何</x:v>
      </x:c>
      <x:c r="P15" s="19" t="str">
        <x:v>中</x:v>
      </x:c>
      <x:c r="Q15" s="19" t="str">
        <x:v>气量增大混合时间下降；零流量失败；尺度分析</x:v>
      </x:c>
      <x:c r="R15" s="19" t="str">
        <x:v>calc_ladle_argon_mixing_time</x:v>
      </x:c>
    </x:row>
  </x:sheetData>
  <x:conditionalFormatting sqref="J2:K15">
    <x:cfRule type="containsText" dxfId="2" priority="1" operator="containsText" text="否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7" hidden="0" customWidth="1"/>
    <x:col min="4" max="4" width="14" hidden="0" customWidth="1"/>
    <x:col min="5" max="5" width="16" hidden="0" customWidth="1"/>
    <x:col min="6" max="6" width="13" hidden="0" customWidth="1"/>
    <x:col min="7" max="7" width="13" hidden="0" customWidth="1"/>
    <x:col min="8" max="8" width="22" hidden="0" customWidth="1"/>
    <x:col min="9" max="9" width="40" hidden="0" customWidth="1"/>
    <x:col min="10" max="10" width="17" hidden="0" customWidth="1"/>
    <x:col min="11" max="11" width="15" hidden="0" customWidth="1"/>
    <x:col min="12" max="12" width="44" hidden="0" customWidth="1"/>
    <x:col min="13" max="13" width="46" hidden="0" customWidth="1"/>
  </x:cols>
  <x:sheetData>
    <x:row r="1" ht="15" hidden="0" customHeight="1">
      <x:c r="A1" s="13" t="str">
        <x:v>序号</x:v>
      </x:c>
      <x:c r="B1" s="13" t="str">
        <x:v>运行时ID</x:v>
      </x:c>
      <x:c r="C1" s="13" t="str">
        <x:v>工具名称</x:v>
      </x:c>
      <x:c r="D1" s="13" t="str">
        <x:v>状态</x:v>
      </x:c>
      <x:c r="E1" s="13" t="str">
        <x:v>阶段</x:v>
      </x:c>
      <x:c r="F1" s="13" t="str">
        <x:v>目录ID</x:v>
      </x:c>
      <x:c r="G1" s="13" t="str">
        <x:v>目录覆盖</x:v>
      </x:c>
      <x:c r="H1" s="13" t="str">
        <x:v>场景</x:v>
      </x:c>
      <x:c r="I1" s="13" t="str">
        <x:v>数据模式</x:v>
      </x:c>
      <x:c r="J1" s="13" t="str">
        <x:v>现场数据依赖</x:v>
      </x:c>
      <x:c r="K1" s="13" t="str">
        <x:v>训练/权重</x:v>
      </x:c>
      <x:c r="L1" s="13" t="str">
        <x:v>规划身份</x:v>
      </x:c>
      <x:c r="M1" s="13" t="str">
        <x:v>备注</x:v>
      </x:c>
    </x:row>
    <x:row r="2" ht="42" hidden="0" customHeight="1">
      <x:c r="A2" s="18" t="n">
        <x:v>1</x:v>
      </x:c>
      <x:c r="B2" s="18" t="str">
        <x:v>A001</x:v>
      </x:c>
      <x:c r="C2" s="18" t="str">
        <x:v>单位换算</x:v>
      </x:c>
      <x:c r="D2" s="18" t="str">
        <x:v>已实现</x:v>
      </x:c>
      <x:c r="E2" s="18" t="str">
        <x:v>保持现状</x:v>
      </x:c>
      <x:c r="F2" s="18" t="str">
        <x:v>A001</x:v>
      </x:c>
      <x:c r="G2" s="18" t="str">
        <x:v>是</x:v>
      </x:c>
      <x:c r="H2" s="18" t="str">
        <x:v>通用数据与校验</x:v>
      </x:c>
      <x:c r="I2" s="18" t="str">
        <x:v>保持当前实现、数据库和资格元数据</x:v>
      </x:c>
      <x:c r="J2" s="18" t="str">
        <x:v>保持现有范围</x:v>
      </x:c>
      <x:c r="K2" s="18" t="str">
        <x:v>保持现有范围</x:v>
      </x:c>
      <x:c r="L2" s="18" t="str">
        <x:v>—</x:v>
      </x:c>
      <x:c r="M2" s="18" t="str">
        <x:v>same</x:v>
      </x:c>
    </x:row>
    <x:row r="3" ht="42" hidden="0" customHeight="1">
      <x:c r="A3" s="18" t="n">
        <x:v>2</x:v>
      </x:c>
      <x:c r="B3" s="18" t="str">
        <x:v>A002</x:v>
      </x:c>
      <x:c r="C3" s="18" t="str">
        <x:v>化学式解析</x:v>
      </x:c>
      <x:c r="D3" s="18" t="str">
        <x:v>已实现</x:v>
      </x:c>
      <x:c r="E3" s="18" t="str">
        <x:v>保持现状</x:v>
      </x:c>
      <x:c r="F3" s="18" t="str">
        <x:v>A002</x:v>
      </x:c>
      <x:c r="G3" s="18" t="str">
        <x:v>是</x:v>
      </x:c>
      <x:c r="H3" s="18" t="str">
        <x:v>通用数据与校验</x:v>
      </x:c>
      <x:c r="I3" s="18" t="str">
        <x:v>保持当前实现、数据库和资格元数据</x:v>
      </x:c>
      <x:c r="J3" s="18" t="str">
        <x:v>保持现有范围</x:v>
      </x:c>
      <x:c r="K3" s="18" t="str">
        <x:v>保持现有范围</x:v>
      </x:c>
      <x:c r="L3" s="18" t="str">
        <x:v>—</x:v>
      </x:c>
      <x:c r="M3" s="18" t="str">
        <x:v>same</x:v>
      </x:c>
    </x:row>
    <x:row r="4" ht="42" hidden="0" customHeight="1">
      <x:c r="A4" s="18" t="n">
        <x:v>3</x:v>
      </x:c>
      <x:c r="B4" s="18" t="str">
        <x:v>A003</x:v>
      </x:c>
      <x:c r="C4" s="18" t="str">
        <x:v>摩尔质量计算</x:v>
      </x:c>
      <x:c r="D4" s="18" t="str">
        <x:v>已实现</x:v>
      </x:c>
      <x:c r="E4" s="18" t="str">
        <x:v>保持现状</x:v>
      </x:c>
      <x:c r="F4" s="18" t="str">
        <x:v>A003</x:v>
      </x:c>
      <x:c r="G4" s="18" t="str">
        <x:v>是</x:v>
      </x:c>
      <x:c r="H4" s="18" t="str">
        <x:v>通用数据与校验</x:v>
      </x:c>
      <x:c r="I4" s="18" t="str">
        <x:v>保持当前实现、数据库和资格元数据</x:v>
      </x:c>
      <x:c r="J4" s="18" t="str">
        <x:v>保持现有范围</x:v>
      </x:c>
      <x:c r="K4" s="18" t="str">
        <x:v>保持现有范围</x:v>
      </x:c>
      <x:c r="L4" s="18" t="str">
        <x:v>—</x:v>
      </x:c>
      <x:c r="M4" s="18" t="str">
        <x:v>same</x:v>
      </x:c>
    </x:row>
    <x:row r="5" ht="42" hidden="0" customHeight="1">
      <x:c r="A5" s="18" t="n">
        <x:v>4</x:v>
      </x:c>
      <x:c r="B5" s="18" t="str">
        <x:v>A004</x:v>
      </x:c>
      <x:c r="C5" s="18" t="str">
        <x:v>成分归一化</x:v>
      </x:c>
      <x:c r="D5" s="18" t="str">
        <x:v>已实现</x:v>
      </x:c>
      <x:c r="E5" s="18" t="str">
        <x:v>保持现状</x:v>
      </x:c>
      <x:c r="F5" s="18" t="str">
        <x:v>A004</x:v>
      </x:c>
      <x:c r="G5" s="18" t="str">
        <x:v>是</x:v>
      </x:c>
      <x:c r="H5" s="18" t="str">
        <x:v>通用数据与校验</x:v>
      </x:c>
      <x:c r="I5" s="18" t="str">
        <x:v>保持当前实现、数据库和资格元数据</x:v>
      </x:c>
      <x:c r="J5" s="18" t="str">
        <x:v>保持现有范围</x:v>
      </x:c>
      <x:c r="K5" s="18" t="str">
        <x:v>保持现有范围</x:v>
      </x:c>
      <x:c r="L5" s="18" t="str">
        <x:v>—</x:v>
      </x:c>
      <x:c r="M5" s="18" t="str">
        <x:v>same</x:v>
      </x:c>
    </x:row>
    <x:row r="6" ht="42" hidden="0" customHeight="1">
      <x:c r="A6" s="18" t="n">
        <x:v>5</x:v>
      </x:c>
      <x:c r="B6" s="18" t="str">
        <x:v>A005</x:v>
      </x:c>
      <x:c r="C6" s="18" t="str">
        <x:v>元素质量守恒校验</x:v>
      </x:c>
      <x:c r="D6" s="18" t="str">
        <x:v>已实现</x:v>
      </x:c>
      <x:c r="E6" s="18" t="str">
        <x:v>保持现状</x:v>
      </x:c>
      <x:c r="F6" s="18" t="str">
        <x:v>A005</x:v>
      </x:c>
      <x:c r="G6" s="18" t="str">
        <x:v>是</x:v>
      </x:c>
      <x:c r="H6" s="18" t="str">
        <x:v>通用数据与校验</x:v>
      </x:c>
      <x:c r="I6" s="18" t="str">
        <x:v>保持当前实现、数据库和资格元数据</x:v>
      </x:c>
      <x:c r="J6" s="18" t="str">
        <x:v>保持现有范围</x:v>
      </x:c>
      <x:c r="K6" s="18" t="str">
        <x:v>保持现有范围</x:v>
      </x:c>
      <x:c r="L6" s="18" t="str">
        <x:v>—</x:v>
      </x:c>
      <x:c r="M6" s="18" t="str">
        <x:v>same</x:v>
      </x:c>
    </x:row>
    <x:row r="7" ht="42" hidden="0" customHeight="1">
      <x:c r="A7" s="18" t="n">
        <x:v>6</x:v>
      </x:c>
      <x:c r="B7" s="18" t="str">
        <x:v>A006</x:v>
      </x:c>
      <x:c r="C7" s="18" t="str">
        <x:v>反应配平校验</x:v>
      </x:c>
      <x:c r="D7" s="18" t="str">
        <x:v>已实现</x:v>
      </x:c>
      <x:c r="E7" s="18" t="str">
        <x:v>保持现状</x:v>
      </x:c>
      <x:c r="F7" s="18" t="str">
        <x:v>—</x:v>
      </x:c>
      <x:c r="G7" s="18" t="str">
        <x:v>否</x:v>
      </x:c>
      <x:c r="H7" s="18" t="str">
        <x:v>通用数据与校验</x:v>
      </x:c>
      <x:c r="I7" s="18" t="str">
        <x:v>保持当前实现、数据库和资格元数据</x:v>
      </x:c>
      <x:c r="J7" s="18" t="str">
        <x:v>保持现有范围</x:v>
      </x:c>
      <x:c r="K7" s="18" t="str">
        <x:v>保持现有范围</x:v>
      </x:c>
      <x:c r="L7" s="18" t="str">
        <x:v>metallurgy.extension.reaction_balance_check.v1</x:v>
      </x:c>
      <x:c r="M7" s="18" t="str">
        <x:v>extension</x:v>
      </x:c>
    </x:row>
    <x:row r="8" ht="42" hidden="0" customHeight="1">
      <x:c r="A8" s="18" t="n">
        <x:v>7</x:v>
      </x:c>
      <x:c r="B8" s="18" t="str">
        <x:v>A007</x:v>
      </x:c>
      <x:c r="C8" s="18" t="str">
        <x:v>氧/还原剂当量</x:v>
      </x:c>
      <x:c r="D8" s="18" t="str">
        <x:v>已实现</x:v>
      </x:c>
      <x:c r="E8" s="18" t="str">
        <x:v>保持现状</x:v>
      </x:c>
      <x:c r="F8" s="18" t="str">
        <x:v>A006</x:v>
      </x:c>
      <x:c r="G8" s="18" t="str">
        <x:v>是</x:v>
      </x:c>
      <x:c r="H8" s="18" t="str">
        <x:v>通用数据与校验</x:v>
      </x:c>
      <x:c r="I8" s="18" t="str">
        <x:v>保持当前实现、数据库和资格元数据</x:v>
      </x:c>
      <x:c r="J8" s="18" t="str">
        <x:v>保持现有范围</x:v>
      </x:c>
      <x:c r="K8" s="18" t="str">
        <x:v>保持现有范围</x:v>
      </x:c>
      <x:c r="L8" s="18" t="str">
        <x:v>metallurgy.catalog.a006.oxygen_reductant_equivalent.v1</x:v>
      </x:c>
      <x:c r="M8" s="18" t="str">
        <x:v>catalog_equivalent_different_runtime_code</x:v>
      </x:c>
    </x:row>
    <x:row r="9" ht="42" hidden="0" customHeight="1">
      <x:c r="A9" s="18" t="n">
        <x:v>8</x:v>
      </x:c>
      <x:c r="B9" s="18" t="str">
        <x:v>B001</x:v>
      </x:c>
      <x:c r="C9" s="18" t="str">
        <x:v>Shomate 热物性计算</x:v>
      </x:c>
      <x:c r="D9" s="18" t="str">
        <x:v>已实现</x:v>
      </x:c>
      <x:c r="E9" s="18" t="str">
        <x:v>保持现状</x:v>
      </x:c>
      <x:c r="F9" s="18" t="str">
        <x:v>B001</x:v>
      </x:c>
      <x:c r="G9" s="18" t="str">
        <x:v>是</x:v>
      </x:c>
      <x:c r="H9" s="18" t="str">
        <x:v>热力学与相平衡</x:v>
      </x:c>
      <x:c r="I9" s="18" t="str">
        <x:v>保持当前实现、数据库和资格元数据</x:v>
      </x:c>
      <x:c r="J9" s="18" t="str">
        <x:v>保持现有范围</x:v>
      </x:c>
      <x:c r="K9" s="18" t="str">
        <x:v>保持现有范围</x:v>
      </x:c>
      <x:c r="L9" s="18" t="str">
        <x:v>—</x:v>
      </x:c>
      <x:c r="M9" s="18" t="str">
        <x:v>same</x:v>
      </x:c>
    </x:row>
    <x:row r="10" ht="42" hidden="0" customHeight="1">
      <x:c r="A10" s="18" t="n">
        <x:v>9</x:v>
      </x:c>
      <x:c r="B10" s="18" t="str">
        <x:v>B002</x:v>
      </x:c>
      <x:c r="C10" s="18" t="str">
        <x:v>NASA7 热物性计算</x:v>
      </x:c>
      <x:c r="D10" s="18" t="str">
        <x:v>已实现</x:v>
      </x:c>
      <x:c r="E10" s="18" t="str">
        <x:v>保持现状</x:v>
      </x:c>
      <x:c r="F10" s="18" t="str">
        <x:v>B002</x:v>
      </x:c>
      <x:c r="G10" s="18" t="str">
        <x:v>是</x:v>
      </x:c>
      <x:c r="H10" s="18" t="str">
        <x:v>热力学与相平衡</x:v>
      </x:c>
      <x:c r="I10" s="18" t="str">
        <x:v>保持当前实现、数据库和资格元数据</x:v>
      </x:c>
      <x:c r="J10" s="18" t="str">
        <x:v>保持现有范围</x:v>
      </x:c>
      <x:c r="K10" s="18" t="str">
        <x:v>保持现有范围</x:v>
      </x:c>
      <x:c r="L10" s="18" t="str">
        <x:v>—</x:v>
      </x:c>
      <x:c r="M10" s="18" t="str">
        <x:v>same</x:v>
      </x:c>
    </x:row>
    <x:row r="11" ht="42" hidden="0" customHeight="1">
      <x:c r="A11" s="18" t="n">
        <x:v>10</x:v>
      </x:c>
      <x:c r="B11" s="18" t="str">
        <x:v>B003</x:v>
      </x:c>
      <x:c r="C11" s="18" t="str">
        <x:v>显热与焓积分</x:v>
      </x:c>
      <x:c r="D11" s="18" t="str">
        <x:v>已实现</x:v>
      </x:c>
      <x:c r="E11" s="18" t="str">
        <x:v>保持现状</x:v>
      </x:c>
      <x:c r="F11" s="18" t="str">
        <x:v>B003</x:v>
      </x:c>
      <x:c r="G11" s="18" t="str">
        <x:v>是</x:v>
      </x:c>
      <x:c r="H11" s="18" t="str">
        <x:v>热力学与相平衡</x:v>
      </x:c>
      <x:c r="I11" s="18" t="str">
        <x:v>保持当前实现、数据库和资格元数据</x:v>
      </x:c>
      <x:c r="J11" s="18" t="str">
        <x:v>保持现有范围</x:v>
      </x:c>
      <x:c r="K11" s="18" t="str">
        <x:v>保持现有范围</x:v>
      </x:c>
      <x:c r="L11" s="18" t="str">
        <x:v>—</x:v>
      </x:c>
      <x:c r="M11" s="18" t="str">
        <x:v>same</x:v>
      </x:c>
    </x:row>
    <x:row r="12" ht="42" hidden="0" customHeight="1">
      <x:c r="A12" s="18" t="n">
        <x:v>11</x:v>
      </x:c>
      <x:c r="B12" s="18" t="str">
        <x:v>B004</x:v>
      </x:c>
      <x:c r="C12" s="18" t="str">
        <x:v>熵积分</x:v>
      </x:c>
      <x:c r="D12" s="18" t="str">
        <x:v>已实现</x:v>
      </x:c>
      <x:c r="E12" s="18" t="str">
        <x:v>保持现状</x:v>
      </x:c>
      <x:c r="F12" s="18" t="str">
        <x:v>B004</x:v>
      </x:c>
      <x:c r="G12" s="18" t="str">
        <x:v>是</x:v>
      </x:c>
      <x:c r="H12" s="18" t="str">
        <x:v>热力学与相平衡</x:v>
      </x:c>
      <x:c r="I12" s="18" t="str">
        <x:v>保持当前实现、数据库和资格元数据</x:v>
      </x:c>
      <x:c r="J12" s="18" t="str">
        <x:v>保持现有范围</x:v>
      </x:c>
      <x:c r="K12" s="18" t="str">
        <x:v>保持现有范围</x:v>
      </x:c>
      <x:c r="L12" s="18" t="str">
        <x:v>—</x:v>
      </x:c>
      <x:c r="M12" s="18" t="str">
        <x:v>same</x:v>
      </x:c>
    </x:row>
    <x:row r="13" ht="42" hidden="0" customHeight="1">
      <x:c r="A13" s="18" t="n">
        <x:v>12</x:v>
      </x:c>
      <x:c r="B13" s="18" t="str">
        <x:v>B005</x:v>
      </x:c>
      <x:c r="C13" s="18" t="str">
        <x:v>物种Gibbs自由能</x:v>
      </x:c>
      <x:c r="D13" s="18" t="str">
        <x:v>已实现</x:v>
      </x:c>
      <x:c r="E13" s="18" t="str">
        <x:v>保持现状</x:v>
      </x:c>
      <x:c r="F13" s="18" t="str">
        <x:v>B005</x:v>
      </x:c>
      <x:c r="G13" s="18" t="str">
        <x:v>是</x:v>
      </x:c>
      <x:c r="H13" s="18" t="str">
        <x:v>热力学与相平衡</x:v>
      </x:c>
      <x:c r="I13" s="18" t="str">
        <x:v>保持当前实现、数据库和资格元数据</x:v>
      </x:c>
      <x:c r="J13" s="18" t="str">
        <x:v>保持现有范围</x:v>
      </x:c>
      <x:c r="K13" s="18" t="str">
        <x:v>保持现有范围</x:v>
      </x:c>
      <x:c r="L13" s="18" t="str">
        <x:v>—</x:v>
      </x:c>
      <x:c r="M13" s="18" t="str">
        <x:v>same</x:v>
      </x:c>
    </x:row>
    <x:row r="14" ht="42" hidden="0" customHeight="1">
      <x:c r="A14" s="18" t="n">
        <x:v>13</x:v>
      </x:c>
      <x:c r="B14" s="18" t="str">
        <x:v>B006</x:v>
      </x:c>
      <x:c r="C14" s="18" t="str">
        <x:v>反应焓计算</x:v>
      </x:c>
      <x:c r="D14" s="18" t="str">
        <x:v>已实现</x:v>
      </x:c>
      <x:c r="E14" s="18" t="str">
        <x:v>保持现状</x:v>
      </x:c>
      <x:c r="F14" s="18" t="str">
        <x:v>B006</x:v>
      </x:c>
      <x:c r="G14" s="18" t="str">
        <x:v>是</x:v>
      </x:c>
      <x:c r="H14" s="18" t="str">
        <x:v>热力学与相平衡</x:v>
      </x:c>
      <x:c r="I14" s="18" t="str">
        <x:v>保持当前实现、数据库和资格元数据</x:v>
      </x:c>
      <x:c r="J14" s="18" t="str">
        <x:v>保持现有范围</x:v>
      </x:c>
      <x:c r="K14" s="18" t="str">
        <x:v>保持现有范围</x:v>
      </x:c>
      <x:c r="L14" s="18" t="str">
        <x:v>—</x:v>
      </x:c>
      <x:c r="M14" s="18" t="str">
        <x:v>same</x:v>
      </x:c>
    </x:row>
    <x:row r="15" ht="42" hidden="0" customHeight="1">
      <x:c r="A15" s="18" t="n">
        <x:v>14</x:v>
      </x:c>
      <x:c r="B15" s="18" t="str">
        <x:v>B007</x:v>
      </x:c>
      <x:c r="C15" s="18" t="str">
        <x:v>反应熵计算</x:v>
      </x:c>
      <x:c r="D15" s="18" t="str">
        <x:v>已实现</x:v>
      </x:c>
      <x:c r="E15" s="18" t="str">
        <x:v>保持现状</x:v>
      </x:c>
      <x:c r="F15" s="18" t="str">
        <x:v>B007</x:v>
      </x:c>
      <x:c r="G15" s="18" t="str">
        <x:v>是</x:v>
      </x:c>
      <x:c r="H15" s="18" t="str">
        <x:v>热力学与相平衡</x:v>
      </x:c>
      <x:c r="I15" s="18" t="str">
        <x:v>保持当前实现、数据库和资格元数据</x:v>
      </x:c>
      <x:c r="J15" s="18" t="str">
        <x:v>保持现有范围</x:v>
      </x:c>
      <x:c r="K15" s="18" t="str">
        <x:v>保持现有范围</x:v>
      </x:c>
      <x:c r="L15" s="18" t="str">
        <x:v>—</x:v>
      </x:c>
      <x:c r="M15" s="18" t="str">
        <x:v>same</x:v>
      </x:c>
    </x:row>
    <x:row r="16" ht="42" hidden="0" customHeight="1">
      <x:c r="A16" s="18" t="n">
        <x:v>15</x:v>
      </x:c>
      <x:c r="B16" s="18" t="str">
        <x:v>B008</x:v>
      </x:c>
      <x:c r="C16" s="18" t="str">
        <x:v>反应Gibbs自由能</x:v>
      </x:c>
      <x:c r="D16" s="18" t="str">
        <x:v>已实现</x:v>
      </x:c>
      <x:c r="E16" s="18" t="str">
        <x:v>保持现状</x:v>
      </x:c>
      <x:c r="F16" s="18" t="str">
        <x:v>B008</x:v>
      </x:c>
      <x:c r="G16" s="18" t="str">
        <x:v>是</x:v>
      </x:c>
      <x:c r="H16" s="18" t="str">
        <x:v>热力学与相平衡</x:v>
      </x:c>
      <x:c r="I16" s="18" t="str">
        <x:v>保持当前实现、数据库和资格元数据</x:v>
      </x:c>
      <x:c r="J16" s="18" t="str">
        <x:v>保持现有范围</x:v>
      </x:c>
      <x:c r="K16" s="18" t="str">
        <x:v>保持现有范围</x:v>
      </x:c>
      <x:c r="L16" s="18" t="str">
        <x:v>—</x:v>
      </x:c>
      <x:c r="M16" s="18" t="str">
        <x:v>same</x:v>
      </x:c>
    </x:row>
    <x:row r="17" ht="42" hidden="0" customHeight="1">
      <x:c r="A17" s="18" t="n">
        <x:v>16</x:v>
      </x:c>
      <x:c r="B17" s="18" t="str">
        <x:v>B009</x:v>
      </x:c>
      <x:c r="C17" s="18" t="str">
        <x:v>平衡常数计算</x:v>
      </x:c>
      <x:c r="D17" s="18" t="str">
        <x:v>已实现</x:v>
      </x:c>
      <x:c r="E17" s="18" t="str">
        <x:v>保持现状</x:v>
      </x:c>
      <x:c r="F17" s="18" t="str">
        <x:v>B009</x:v>
      </x:c>
      <x:c r="G17" s="18" t="str">
        <x:v>是</x:v>
      </x:c>
      <x:c r="H17" s="18" t="str">
        <x:v>热力学与相平衡</x:v>
      </x:c>
      <x:c r="I17" s="18" t="str">
        <x:v>保持当前实现、数据库和资格元数据</x:v>
      </x:c>
      <x:c r="J17" s="18" t="str">
        <x:v>保持现有范围</x:v>
      </x:c>
      <x:c r="K17" s="18" t="str">
        <x:v>保持现有范围</x:v>
      </x:c>
      <x:c r="L17" s="18" t="str">
        <x:v>—</x:v>
      </x:c>
      <x:c r="M17" s="18" t="str">
        <x:v>same</x:v>
      </x:c>
    </x:row>
    <x:row r="18" ht="42" hidden="0" customHeight="1">
      <x:c r="A18" s="18" t="n">
        <x:v>17</x:v>
      </x:c>
      <x:c r="B18" s="18" t="str">
        <x:v>B010</x:v>
      </x:c>
      <x:c r="C18" s="18" t="str">
        <x:v>van't Hoff温度修正</x:v>
      </x:c>
      <x:c r="D18" s="18" t="str">
        <x:v>已实现</x:v>
      </x:c>
      <x:c r="E18" s="18" t="str">
        <x:v>保持现状</x:v>
      </x:c>
      <x:c r="F18" s="18" t="str">
        <x:v>B010</x:v>
      </x:c>
      <x:c r="G18" s="18" t="str">
        <x:v>是</x:v>
      </x:c>
      <x:c r="H18" s="18" t="str">
        <x:v>热力学与相平衡</x:v>
      </x:c>
      <x:c r="I18" s="18" t="str">
        <x:v>保持当前实现、数据库和资格元数据</x:v>
      </x:c>
      <x:c r="J18" s="18" t="str">
        <x:v>保持现有范围</x:v>
      </x:c>
      <x:c r="K18" s="18" t="str">
        <x:v>保持现有范围</x:v>
      </x:c>
      <x:c r="L18" s="18" t="str">
        <x:v>—</x:v>
      </x:c>
      <x:c r="M18" s="18" t="str">
        <x:v>same</x:v>
      </x:c>
    </x:row>
    <x:row r="19" ht="42" hidden="0" customHeight="1">
      <x:c r="A19" s="18" t="n">
        <x:v>18</x:v>
      </x:c>
      <x:c r="B19" s="18" t="str">
        <x:v>B011</x:v>
      </x:c>
      <x:c r="C19" s="18" t="str">
        <x:v>Ellingham线</x:v>
      </x:c>
      <x:c r="D19" s="18" t="str">
        <x:v>已实现</x:v>
      </x:c>
      <x:c r="E19" s="18" t="str">
        <x:v>保持现状</x:v>
      </x:c>
      <x:c r="F19" s="18" t="str">
        <x:v>B011</x:v>
      </x:c>
      <x:c r="G19" s="18" t="str">
        <x:v>是</x:v>
      </x:c>
      <x:c r="H19" s="18" t="str">
        <x:v>热力学与相平衡</x:v>
      </x:c>
      <x:c r="I19" s="18" t="str">
        <x:v>保持当前实现、数据库和资格元数据</x:v>
      </x:c>
      <x:c r="J19" s="18" t="str">
        <x:v>保持现有范围</x:v>
      </x:c>
      <x:c r="K19" s="18" t="str">
        <x:v>保持现有范围</x:v>
      </x:c>
      <x:c r="L19" s="18" t="str">
        <x:v>—</x:v>
      </x:c>
      <x:c r="M19" s="18" t="str">
        <x:v>same</x:v>
      </x:c>
    </x:row>
    <x:row r="20" ht="42" hidden="0" customHeight="1">
      <x:c r="A20" s="18" t="n">
        <x:v>19</x:v>
      </x:c>
      <x:c r="B20" s="18" t="str">
        <x:v>B014</x:v>
      </x:c>
      <x:c r="C20" s="18" t="str">
        <x:v>理想溶液活度</x:v>
      </x:c>
      <x:c r="D20" s="18" t="str">
        <x:v>已实现</x:v>
      </x:c>
      <x:c r="E20" s="18" t="str">
        <x:v>保持现状</x:v>
      </x:c>
      <x:c r="F20" s="18" t="str">
        <x:v>B014</x:v>
      </x:c>
      <x:c r="G20" s="18" t="str">
        <x:v>是</x:v>
      </x:c>
      <x:c r="H20" s="18" t="str">
        <x:v>热力学与相平衡</x:v>
      </x:c>
      <x:c r="I20" s="18" t="str">
        <x:v>保持当前实现、数据库和资格元数据</x:v>
      </x:c>
      <x:c r="J20" s="18" t="str">
        <x:v>保持现有范围</x:v>
      </x:c>
      <x:c r="K20" s="18" t="str">
        <x:v>保持现有范围</x:v>
      </x:c>
      <x:c r="L20" s="18" t="str">
        <x:v>—</x:v>
      </x:c>
      <x:c r="M20" s="18" t="str">
        <x:v>same</x:v>
      </x:c>
    </x:row>
    <x:row r="21" ht="42" hidden="0" customHeight="1">
      <x:c r="A21" s="18" t="n">
        <x:v>20</x:v>
      </x:c>
      <x:c r="B21" s="18" t="str">
        <x:v>B015</x:v>
      </x:c>
      <x:c r="C21" s="18" t="str">
        <x:v>二元正则溶液活度</x:v>
      </x:c>
      <x:c r="D21" s="18" t="str">
        <x:v>已实现</x:v>
      </x:c>
      <x:c r="E21" s="18" t="str">
        <x:v>保持现状</x:v>
      </x:c>
      <x:c r="F21" s="18" t="str">
        <x:v>B015</x:v>
      </x:c>
      <x:c r="G21" s="18" t="str">
        <x:v>是</x:v>
      </x:c>
      <x:c r="H21" s="18" t="str">
        <x:v>热力学与相平衡</x:v>
      </x:c>
      <x:c r="I21" s="18" t="str">
        <x:v>保持当前实现、数据库和资格元数据</x:v>
      </x:c>
      <x:c r="J21" s="18" t="str">
        <x:v>保持现有范围</x:v>
      </x:c>
      <x:c r="K21" s="18" t="str">
        <x:v>保持现有范围</x:v>
      </x:c>
      <x:c r="L21" s="18" t="str">
        <x:v>—</x:v>
      </x:c>
      <x:c r="M21" s="18" t="str">
        <x:v>same</x:v>
      </x:c>
    </x:row>
    <x:row r="22" ht="42" hidden="0" customHeight="1">
      <x:c r="A22" s="18" t="n">
        <x:v>21</x:v>
      </x:c>
      <x:c r="B22" s="18" t="str">
        <x:v>B018</x:v>
      </x:c>
      <x:c r="C22" s="18" t="str">
        <x:v>Gibbs相律校验</x:v>
      </x:c>
      <x:c r="D22" s="18" t="str">
        <x:v>已实现</x:v>
      </x:c>
      <x:c r="E22" s="18" t="str">
        <x:v>保持现状</x:v>
      </x:c>
      <x:c r="F22" s="18" t="str">
        <x:v>B018</x:v>
      </x:c>
      <x:c r="G22" s="18" t="str">
        <x:v>是</x:v>
      </x:c>
      <x:c r="H22" s="18" t="str">
        <x:v>热力学与相平衡</x:v>
      </x:c>
      <x:c r="I22" s="18" t="str">
        <x:v>保持当前实现、数据库和资格元数据</x:v>
      </x:c>
      <x:c r="J22" s="18" t="str">
        <x:v>保持现有范围</x:v>
      </x:c>
      <x:c r="K22" s="18" t="str">
        <x:v>保持现有范围</x:v>
      </x:c>
      <x:c r="L22" s="18" t="str">
        <x:v>—</x:v>
      </x:c>
      <x:c r="M22" s="18" t="str">
        <x:v>same</x:v>
      </x:c>
    </x:row>
    <x:row r="23" ht="42" hidden="0" customHeight="1">
      <x:c r="A23" s="18" t="n">
        <x:v>22</x:v>
      </x:c>
      <x:c r="B23" s="18" t="str">
        <x:v>B019</x:v>
      </x:c>
      <x:c r="C23" s="18" t="str">
        <x:v>杠杆规则计算</x:v>
      </x:c>
      <x:c r="D23" s="18" t="str">
        <x:v>已实现</x:v>
      </x:c>
      <x:c r="E23" s="18" t="str">
        <x:v>保持现状</x:v>
      </x:c>
      <x:c r="F23" s="18" t="str">
        <x:v>B019</x:v>
      </x:c>
      <x:c r="G23" s="18" t="str">
        <x:v>是</x:v>
      </x:c>
      <x:c r="H23" s="18" t="str">
        <x:v>热力学与相平衡</x:v>
      </x:c>
      <x:c r="I23" s="18" t="str">
        <x:v>保持当前实现、数据库和资格元数据</x:v>
      </x:c>
      <x:c r="J23" s="18" t="str">
        <x:v>保持现有范围</x:v>
      </x:c>
      <x:c r="K23" s="18" t="str">
        <x:v>保持现有范围</x:v>
      </x:c>
      <x:c r="L23" s="18" t="str">
        <x:v>—</x:v>
      </x:c>
      <x:c r="M23" s="18" t="str">
        <x:v>same</x:v>
      </x:c>
    </x:row>
    <x:row r="24" ht="42" hidden="0" customHeight="1">
      <x:c r="A24" s="18" t="n">
        <x:v>23</x:v>
      </x:c>
      <x:c r="B24" s="18" t="str">
        <x:v>C001</x:v>
      </x:c>
      <x:c r="C24" s="18" t="str">
        <x:v>Arrhenius 速率常数</x:v>
      </x:c>
      <x:c r="D24" s="18" t="str">
        <x:v>已实现</x:v>
      </x:c>
      <x:c r="E24" s="18" t="str">
        <x:v>保持现状</x:v>
      </x:c>
      <x:c r="F24" s="18" t="str">
        <x:v>C001</x:v>
      </x:c>
      <x:c r="G24" s="18" t="str">
        <x:v>是</x:v>
      </x:c>
      <x:c r="H24" s="18" t="str">
        <x:v>动力学与传递</x:v>
      </x:c>
      <x:c r="I24" s="18" t="str">
        <x:v>保持当前实现、数据库和资格元数据</x:v>
      </x:c>
      <x:c r="J24" s="18" t="str">
        <x:v>保持现有范围</x:v>
      </x:c>
      <x:c r="K24" s="18" t="str">
        <x:v>保持现有范围</x:v>
      </x:c>
      <x:c r="L24" s="18" t="str">
        <x:v>—</x:v>
      </x:c>
      <x:c r="M24" s="18" t="str">
        <x:v>same</x:v>
      </x:c>
    </x:row>
    <x:row r="25" ht="42" hidden="0" customHeight="1">
      <x:c r="A25" s="18" t="n">
        <x:v>24</x:v>
      </x:c>
      <x:c r="B25" s="18" t="str">
        <x:v>C002</x:v>
      </x:c>
      <x:c r="C25" s="18" t="str">
        <x:v>Arrhenius 扩散系数</x:v>
      </x:c>
      <x:c r="D25" s="18" t="str">
        <x:v>已实现</x:v>
      </x:c>
      <x:c r="E25" s="18" t="str">
        <x:v>保持现状</x:v>
      </x:c>
      <x:c r="F25" s="18" t="str">
        <x:v>C002</x:v>
      </x:c>
      <x:c r="G25" s="18" t="str">
        <x:v>是</x:v>
      </x:c>
      <x:c r="H25" s="18" t="str">
        <x:v>动力学与传递</x:v>
      </x:c>
      <x:c r="I25" s="18" t="str">
        <x:v>保持当前实现、数据库和资格元数据</x:v>
      </x:c>
      <x:c r="J25" s="18" t="str">
        <x:v>保持现有范围</x:v>
      </x:c>
      <x:c r="K25" s="18" t="str">
        <x:v>保持现有范围</x:v>
      </x:c>
      <x:c r="L25" s="18" t="str">
        <x:v>—</x:v>
      </x:c>
      <x:c r="M25" s="18" t="str">
        <x:v>same</x:v>
      </x:c>
    </x:row>
    <x:row r="26" ht="42" hidden="0" customHeight="1">
      <x:c r="A26" s="18" t="n">
        <x:v>25</x:v>
      </x:c>
      <x:c r="B26" s="18" t="str">
        <x:v>C003</x:v>
      </x:c>
      <x:c r="C26" s="18" t="str">
        <x:v>半无限体 Fick 解析解</x:v>
      </x:c>
      <x:c r="D26" s="18" t="str">
        <x:v>已实现</x:v>
      </x:c>
      <x:c r="E26" s="18" t="str">
        <x:v>保持现状</x:v>
      </x:c>
      <x:c r="F26" s="18" t="str">
        <x:v>—</x:v>
      </x:c>
      <x:c r="G26" s="18" t="str">
        <x:v>否</x:v>
      </x:c>
      <x:c r="H26" s="18" t="str">
        <x:v>动力学与传递</x:v>
      </x:c>
      <x:c r="I26" s="18" t="str">
        <x:v>保持当前实现、数据库和资格元数据</x:v>
      </x:c>
      <x:c r="J26" s="18" t="str">
        <x:v>保持现有范围</x:v>
      </x:c>
      <x:c r="K26" s="18" t="str">
        <x:v>保持现有范围</x:v>
      </x:c>
      <x:c r="L26" s="18" t="str">
        <x:v>metallurgy.extension.fick_semi_infinite_analytical.v1</x:v>
      </x:c>
      <x:c r="M26" s="18" t="str">
        <x:v>scope_variant</x:v>
      </x:c>
    </x:row>
    <x:row r="27" ht="42" hidden="0" customHeight="1">
      <x:c r="A27" s="18" t="n">
        <x:v>26</x:v>
      </x:c>
      <x:c r="B27" s="18" t="str">
        <x:v>C004</x:v>
      </x:c>
      <x:c r="C27" s="18" t="str">
        <x:v>JMAK 等温转变动力学</x:v>
      </x:c>
      <x:c r="D27" s="18" t="str">
        <x:v>已实现</x:v>
      </x:c>
      <x:c r="E27" s="18" t="str">
        <x:v>保持现状</x:v>
      </x:c>
      <x:c r="F27" s="18" t="str">
        <x:v>C004</x:v>
      </x:c>
      <x:c r="G27" s="18" t="str">
        <x:v>是</x:v>
      </x:c>
      <x:c r="H27" s="18" t="str">
        <x:v>动力学与传递</x:v>
      </x:c>
      <x:c r="I27" s="18" t="str">
        <x:v>保持当前实现、数据库和资格元数据</x:v>
      </x:c>
      <x:c r="J27" s="18" t="str">
        <x:v>保持现有范围</x:v>
      </x:c>
      <x:c r="K27" s="18" t="str">
        <x:v>保持现有范围</x:v>
      </x:c>
      <x:c r="L27" s="18" t="str">
        <x:v>—</x:v>
      </x:c>
      <x:c r="M27" s="18" t="str">
        <x:v>same</x:v>
      </x:c>
    </x:row>
    <x:row r="28" ht="42" hidden="0" customHeight="1">
      <x:c r="A28" s="18" t="n">
        <x:v>27</x:v>
      </x:c>
      <x:c r="B28" s="18" t="str">
        <x:v>T001</x:v>
      </x:c>
      <x:c r="C28" s="18" t="str">
        <x:v>稳态平板导热</x:v>
      </x:c>
      <x:c r="D28" s="18" t="str">
        <x:v>已实现</x:v>
      </x:c>
      <x:c r="E28" s="18" t="str">
        <x:v>保持现状</x:v>
      </x:c>
      <x:c r="F28" s="18" t="str">
        <x:v>—</x:v>
      </x:c>
      <x:c r="G28" s="18" t="str">
        <x:v>否</x:v>
      </x:c>
      <x:c r="H28" s="18" t="str">
        <x:v>传热基础</x:v>
      </x:c>
      <x:c r="I28" s="18" t="str">
        <x:v>保持当前实现、数据库和资格元数据</x:v>
      </x:c>
      <x:c r="J28" s="18" t="str">
        <x:v>保持现有范围</x:v>
      </x:c>
      <x:c r="K28" s="18" t="str">
        <x:v>保持现有范围</x:v>
      </x:c>
      <x:c r="L28" s="18" t="str">
        <x:v>metallurgy.extension.steady_slab_conduction.v1</x:v>
      </x:c>
      <x:c r="M28" s="18" t="str">
        <x:v>extension</x:v>
      </x:c>
    </x:row>
    <x:row r="29" ht="42" hidden="0" customHeight="1">
      <x:c r="A29" s="18" t="n">
        <x:v>28</x:v>
      </x:c>
      <x:c r="B29" s="18" t="str">
        <x:v>T002</x:v>
      </x:c>
      <x:c r="C29" s="18" t="str">
        <x:v>灰体辐射换热</x:v>
      </x:c>
      <x:c r="D29" s="18" t="str">
        <x:v>已实现</x:v>
      </x:c>
      <x:c r="E29" s="18" t="str">
        <x:v>保持现状</x:v>
      </x:c>
      <x:c r="F29" s="18" t="str">
        <x:v>—</x:v>
      </x:c>
      <x:c r="G29" s="18" t="str">
        <x:v>否</x:v>
      </x:c>
      <x:c r="H29" s="18" t="str">
        <x:v>传热基础</x:v>
      </x:c>
      <x:c r="I29" s="18" t="str">
        <x:v>保持当前实现、数据库和资格元数据</x:v>
      </x:c>
      <x:c r="J29" s="18" t="str">
        <x:v>保持现有范围</x:v>
      </x:c>
      <x:c r="K29" s="18" t="str">
        <x:v>保持现有范围</x:v>
      </x:c>
      <x:c r="L29" s="18" t="str">
        <x:v>metallurgy.extension.gray_body_radiation.v1</x:v>
      </x:c>
      <x:c r="M29" s="18" t="str">
        <x:v>extension</x:v>
      </x:c>
    </x:row>
    <x:row r="30" ht="42" hidden="0" customHeight="1">
      <x:c r="A30" s="18" t="n">
        <x:v>29</x:v>
      </x:c>
      <x:c r="B30" s="18" t="str">
        <x:v>D001</x:v>
      </x:c>
      <x:c r="C30" s="18" t="str">
        <x:v>BOF 理论耗氧</x:v>
      </x:c>
      <x:c r="D30" s="18" t="str">
        <x:v>已实现</x:v>
      </x:c>
      <x:c r="E30" s="18" t="str">
        <x:v>保持现状</x:v>
      </x:c>
      <x:c r="F30" s="18" t="str">
        <x:v>D003</x:v>
      </x:c>
      <x:c r="G30" s="18" t="str">
        <x:v>是</x:v>
      </x:c>
      <x:c r="H30" s="18" t="str">
        <x:v>转炉炼钢</x:v>
      </x:c>
      <x:c r="I30" s="18" t="str">
        <x:v>保持当前实现、数据库和资格元数据</x:v>
      </x:c>
      <x:c r="J30" s="18" t="str">
        <x:v>保持现有范围</x:v>
      </x:c>
      <x:c r="K30" s="18" t="str">
        <x:v>保持现有范围</x:v>
      </x:c>
      <x:c r="L30" s="18" t="str">
        <x:v>metallurgy.catalog.d003.bof_oxygen_demand.v1</x:v>
      </x:c>
      <x:c r="M30" s="18" t="str">
        <x:v>catalog_equivalent_different_runtime_code</x:v>
      </x:c>
    </x:row>
    <x:row r="31" ht="42" hidden="0" customHeight="1">
      <x:c r="A31" s="18" t="n">
        <x:v>30</x:v>
      </x:c>
      <x:c r="B31" s="18" t="str">
        <x:v>D002</x:v>
      </x:c>
      <x:c r="C31" s="18" t="str">
        <x:v>BOF 静态热平衡</x:v>
      </x:c>
      <x:c r="D31" s="18" t="str">
        <x:v>已实现</x:v>
      </x:c>
      <x:c r="E31" s="18" t="str">
        <x:v>保持现状</x:v>
      </x:c>
      <x:c r="F31" s="18" t="str">
        <x:v>D002</x:v>
      </x:c>
      <x:c r="G31" s="18" t="str">
        <x:v>是</x:v>
      </x:c>
      <x:c r="H31" s="18" t="str">
        <x:v>转炉炼钢</x:v>
      </x:c>
      <x:c r="I31" s="18" t="str">
        <x:v>保持当前实现、数据库和资格元数据</x:v>
      </x:c>
      <x:c r="J31" s="18" t="str">
        <x:v>保持现有范围</x:v>
      </x:c>
      <x:c r="K31" s="18" t="str">
        <x:v>保持现有范围</x:v>
      </x:c>
      <x:c r="L31" s="18" t="str">
        <x:v>—</x:v>
      </x:c>
      <x:c r="M31" s="18" t="str">
        <x:v>same</x:v>
      </x:c>
    </x:row>
    <x:row r="32" ht="42" hidden="0" customHeight="1">
      <x:c r="A32" s="18" t="n">
        <x:v>31</x:v>
      </x:c>
      <x:c r="B32" s="18" t="str">
        <x:v>A101</x:v>
      </x:c>
      <x:c r="C32" s="18" t="str">
        <x:v>电荷与价态平衡</x:v>
      </x:c>
      <x:c r="D32" s="18" t="str">
        <x:v>已实现</x:v>
      </x:c>
      <x:c r="E32" s="18" t="str">
        <x:v>保持现状</x:v>
      </x:c>
      <x:c r="F32" s="18" t="str">
        <x:v>A007</x:v>
      </x:c>
      <x:c r="G32" s="18" t="str">
        <x:v>是</x:v>
      </x:c>
      <x:c r="H32" s="18" t="str">
        <x:v>通用数据与校验</x:v>
      </x:c>
      <x:c r="I32" s="18" t="str">
        <x:v>保持当前实现、数据库和资格元数据</x:v>
      </x:c>
      <x:c r="J32" s="18" t="str">
        <x:v>保持现有范围</x:v>
      </x:c>
      <x:c r="K32" s="18" t="str">
        <x:v>保持现有范围</x:v>
      </x:c>
      <x:c r="L32" s="18" t="str">
        <x:v>metallurgy.catalog.a007.charge_valence_balance.v1</x:v>
      </x:c>
      <x:c r="M32" s="18" t="str">
        <x:v>catalog_equivalent_different_runtime_code</x:v>
      </x:c>
    </x:row>
    <x:row r="33" ht="42" hidden="0" customHeight="1">
      <x:c r="A33" s="18" t="n">
        <x:v>32</x:v>
      </x:c>
      <x:c r="B33" s="18" t="str">
        <x:v>A008</x:v>
      </x:c>
      <x:c r="C33" s="18" t="str">
        <x:v>缺失值处理</x:v>
      </x:c>
      <x:c r="D33" s="18" t="str">
        <x:v>已实现</x:v>
      </x:c>
      <x:c r="E33" s="18" t="str">
        <x:v>保持现状</x:v>
      </x:c>
      <x:c r="F33" s="18" t="str">
        <x:v>A008</x:v>
      </x:c>
      <x:c r="G33" s="18" t="str">
        <x:v>是</x:v>
      </x:c>
      <x:c r="H33" s="18" t="str">
        <x:v>通用数据与校验</x:v>
      </x:c>
      <x:c r="I33" s="18" t="str">
        <x:v>保持当前实现、数据库和资格元数据</x:v>
      </x:c>
      <x:c r="J33" s="18" t="str">
        <x:v>保持现有范围</x:v>
      </x:c>
      <x:c r="K33" s="18" t="str">
        <x:v>保持现有范围</x:v>
      </x:c>
      <x:c r="L33" s="18" t="str">
        <x:v>metallurgy.catalog.a008.missing_value_imputer.v1</x:v>
      </x:c>
      <x:c r="M33" s="18" t="str">
        <x:v>same</x:v>
      </x:c>
    </x:row>
    <x:row r="34" ht="42" hidden="0" customHeight="1">
      <x:c r="A34" s="18" t="n">
        <x:v>33</x:v>
      </x:c>
      <x:c r="B34" s="18" t="str">
        <x:v>D021</x:v>
      </x:c>
      <x:c r="C34" s="18" t="str">
        <x:v>转炉装料物料平衡</x:v>
      </x:c>
      <x:c r="D34" s="18" t="str">
        <x:v>已实现</x:v>
      </x:c>
      <x:c r="E34" s="18" t="str">
        <x:v>保持现状</x:v>
      </x:c>
      <x:c r="F34" s="18" t="str">
        <x:v>D001</x:v>
      </x:c>
      <x:c r="G34" s="18" t="str">
        <x:v>是</x:v>
      </x:c>
      <x:c r="H34" s="18" t="str">
        <x:v>转炉炼钢</x:v>
      </x:c>
      <x:c r="I34" s="18" t="str">
        <x:v>保持当前实现、数据库和资格元数据</x:v>
      </x:c>
      <x:c r="J34" s="18" t="str">
        <x:v>保持现有范围</x:v>
      </x:c>
      <x:c r="K34" s="18" t="str">
        <x:v>保持现有范围</x:v>
      </x:c>
      <x:c r="L34" s="18" t="str">
        <x:v>metallurgy.catalog.d001.bof_charge_balance.v1</x:v>
      </x:c>
      <x:c r="M34" s="18" t="str">
        <x:v>catalog_equivalent_different_runtime_code</x:v>
      </x:c>
    </x:row>
    <x:row r="35" ht="42" hidden="0" customHeight="1">
      <x:c r="A35" s="18" t="n">
        <x:v>34</x:v>
      </x:c>
      <x:c r="B35" s="18" t="str">
        <x:v>D004</x:v>
      </x:c>
      <x:c r="C35" s="18" t="str">
        <x:v>石灰/白云石加入量</x:v>
      </x:c>
      <x:c r="D35" s="18" t="str">
        <x:v>已实现</x:v>
      </x:c>
      <x:c r="E35" s="18" t="str">
        <x:v>保持现状</x:v>
      </x:c>
      <x:c r="F35" s="18" t="str">
        <x:v>D004</x:v>
      </x:c>
      <x:c r="G35" s="18" t="str">
        <x:v>是</x:v>
      </x:c>
      <x:c r="H35" s="18" t="str">
        <x:v>转炉炼钢</x:v>
      </x:c>
      <x:c r="I35" s="18" t="str">
        <x:v>保持当前实现、数据库和资格元数据</x:v>
      </x:c>
      <x:c r="J35" s="18" t="str">
        <x:v>保持现有范围</x:v>
      </x:c>
      <x:c r="K35" s="18" t="str">
        <x:v>保持现有范围</x:v>
      </x:c>
      <x:c r="L35" s="18" t="str">
        <x:v>metallurgy.catalog.d004.bof_flux_addition.v1</x:v>
      </x:c>
      <x:c r="M35" s="18" t="str">
        <x:v>same</x:v>
      </x:c>
    </x:row>
    <x:row r="36" ht="42" hidden="0" customHeight="1">
      <x:c r="A36" s="18" t="n">
        <x:v>35</x:v>
      </x:c>
      <x:c r="B36" s="18" t="str">
        <x:v>E001</x:v>
      </x:c>
      <x:c r="C36" s="18" t="str">
        <x:v>高炉炉料总物料平衡</x:v>
      </x:c>
      <x:c r="D36" s="18" t="str">
        <x:v>已实现</x:v>
      </x:c>
      <x:c r="E36" s="18" t="str">
        <x:v>保持现状</x:v>
      </x:c>
      <x:c r="F36" s="18" t="str">
        <x:v>E001</x:v>
      </x:c>
      <x:c r="G36" s="18" t="str">
        <x:v>是</x:v>
      </x:c>
      <x:c r="H36" s="18" t="str">
        <x:v>高炉低碳</x:v>
      </x:c>
      <x:c r="I36" s="18" t="str">
        <x:v>保持当前实现、数据库和资格元数据</x:v>
      </x:c>
      <x:c r="J36" s="18" t="str">
        <x:v>保持现有范围</x:v>
      </x:c>
      <x:c r="K36" s="18" t="str">
        <x:v>保持现有范围</x:v>
      </x:c>
      <x:c r="L36" s="18" t="str">
        <x:v>metallurgy.catalog.e001.bf_burden_balance.v1</x:v>
      </x:c>
      <x:c r="M36" s="18" t="str">
        <x:v>same</x:v>
      </x:c>
    </x:row>
    <x:row r="37" ht="42" hidden="0" customHeight="1">
      <x:c r="A37" s="18" t="n">
        <x:v>36</x:v>
      </x:c>
      <x:c r="B37" s="18" t="str">
        <x:v>E002</x:v>
      </x:c>
      <x:c r="C37" s="18" t="str">
        <x:v>高炉铁元素平衡与还原度</x:v>
      </x:c>
      <x:c r="D37" s="18" t="str">
        <x:v>已实现</x:v>
      </x:c>
      <x:c r="E37" s="18" t="str">
        <x:v>保持现状</x:v>
      </x:c>
      <x:c r="F37" s="18" t="str">
        <x:v>E002</x:v>
      </x:c>
      <x:c r="G37" s="18" t="str">
        <x:v>是</x:v>
      </x:c>
      <x:c r="H37" s="18" t="str">
        <x:v>高炉低碳</x:v>
      </x:c>
      <x:c r="I37" s="18" t="str">
        <x:v>保持当前实现、数据库和资格元数据</x:v>
      </x:c>
      <x:c r="J37" s="18" t="str">
        <x:v>保持现有范围</x:v>
      </x:c>
      <x:c r="K37" s="18" t="str">
        <x:v>保持现有范围</x:v>
      </x:c>
      <x:c r="L37" s="18" t="str">
        <x:v>metallurgy.catalog.e002.bf_iron_balance.v1</x:v>
      </x:c>
      <x:c r="M37" s="18" t="str">
        <x:v>same</x:v>
      </x:c>
    </x:row>
    <x:row r="38" ht="42" hidden="0" customHeight="1">
      <x:c r="A38" s="18" t="n">
        <x:v>37</x:v>
      </x:c>
      <x:c r="B38" s="18" t="str">
        <x:v>E003</x:v>
      </x:c>
      <x:c r="C38" s="18" t="str">
        <x:v>高炉碳平衡</x:v>
      </x:c>
      <x:c r="D38" s="18" t="str">
        <x:v>已实现</x:v>
      </x:c>
      <x:c r="E38" s="18" t="str">
        <x:v>保持现状</x:v>
      </x:c>
      <x:c r="F38" s="18" t="str">
        <x:v>E003</x:v>
      </x:c>
      <x:c r="G38" s="18" t="str">
        <x:v>是</x:v>
      </x:c>
      <x:c r="H38" s="18" t="str">
        <x:v>高炉低碳</x:v>
      </x:c>
      <x:c r="I38" s="18" t="str">
        <x:v>保持当前实现、数据库和资格元数据</x:v>
      </x:c>
      <x:c r="J38" s="18" t="str">
        <x:v>保持现有范围</x:v>
      </x:c>
      <x:c r="K38" s="18" t="str">
        <x:v>保持现有范围</x:v>
      </x:c>
      <x:c r="L38" s="18" t="str">
        <x:v>metallurgy.catalog.e003.bf_carbon_balance.v1</x:v>
      </x:c>
      <x:c r="M38" s="18" t="str">
        <x:v>same</x:v>
      </x:c>
    </x:row>
    <x:row r="39" ht="42" hidden="0" customHeight="1">
      <x:c r="A39" s="18" t="n">
        <x:v>38</x:v>
      </x:c>
      <x:c r="B39" s="18" t="str">
        <x:v>E004</x:v>
      </x:c>
      <x:c r="C39" s="18" t="str">
        <x:v>高炉氧平衡</x:v>
      </x:c>
      <x:c r="D39" s="18" t="str">
        <x:v>已实现</x:v>
      </x:c>
      <x:c r="E39" s="18" t="str">
        <x:v>保持现状</x:v>
      </x:c>
      <x:c r="F39" s="18" t="str">
        <x:v>E004</x:v>
      </x:c>
      <x:c r="G39" s="18" t="str">
        <x:v>是</x:v>
      </x:c>
      <x:c r="H39" s="18" t="str">
        <x:v>高炉低碳</x:v>
      </x:c>
      <x:c r="I39" s="18" t="str">
        <x:v>保持当前实现、数据库和资格元数据</x:v>
      </x:c>
      <x:c r="J39" s="18" t="str">
        <x:v>保持现有范围</x:v>
      </x:c>
      <x:c r="K39" s="18" t="str">
        <x:v>保持现有范围</x:v>
      </x:c>
      <x:c r="L39" s="18" t="str">
        <x:v>metallurgy.catalog.e004.bf_oxygen_balance.v1</x:v>
      </x:c>
      <x:c r="M39" s="18" t="str">
        <x:v>same</x:v>
      </x:c>
    </x:row>
    <x:row r="40" ht="42" hidden="0" customHeight="1">
      <x:c r="A40" s="18" t="n">
        <x:v>39</x:v>
      </x:c>
      <x:c r="B40" s="18" t="str">
        <x:v>F003</x:v>
      </x:c>
      <x:c r="C40" s="18" t="str">
        <x:v>钢液过热度</x:v>
      </x:c>
      <x:c r="D40" s="18" t="str">
        <x:v>已实现</x:v>
      </x:c>
      <x:c r="E40" s="18" t="str">
        <x:v>保持现状</x:v>
      </x:c>
      <x:c r="F40" s="18" t="str">
        <x:v>F003</x:v>
      </x:c>
      <x:c r="G40" s="18" t="str">
        <x:v>是</x:v>
      </x:c>
      <x:c r="H40" s="18" t="str">
        <x:v>连铸质量与二冷</x:v>
      </x:c>
      <x:c r="I40" s="18" t="str">
        <x:v>保持当前实现、数据库和资格元数据</x:v>
      </x:c>
      <x:c r="J40" s="18" t="str">
        <x:v>保持现有范围</x:v>
      </x:c>
      <x:c r="K40" s="18" t="str">
        <x:v>保持现有范围</x:v>
      </x:c>
      <x:c r="L40" s="18" t="str">
        <x:v>metallurgy.catalog.f003.steel_superheat.v1</x:v>
      </x:c>
      <x:c r="M40" s="18" t="str">
        <x:v>same</x:v>
      </x:c>
    </x:row>
    <x:row r="41" ht="42" hidden="0" customHeight="1">
      <x:c r="A41" s="18" t="n">
        <x:v>40</x:v>
      </x:c>
      <x:c r="B41" s="18" t="str">
        <x:v>F001</x:v>
      </x:c>
      <x:c r="C41" s="18" t="str">
        <x:v>钢液液相线温度</x:v>
      </x:c>
      <x:c r="D41" s="18" t="str">
        <x:v>已实现</x:v>
      </x:c>
      <x:c r="E41" s="18" t="str">
        <x:v>保持现状</x:v>
      </x:c>
      <x:c r="F41" s="18" t="str">
        <x:v>F001</x:v>
      </x:c>
      <x:c r="G41" s="18" t="str">
        <x:v>是</x:v>
      </x:c>
      <x:c r="H41" s="18" t="str">
        <x:v>连铸质量与二冷</x:v>
      </x:c>
      <x:c r="I41" s="18" t="str">
        <x:v>保持当前实现、数据库和资格元数据</x:v>
      </x:c>
      <x:c r="J41" s="18" t="str">
        <x:v>保持现有范围</x:v>
      </x:c>
      <x:c r="K41" s="18" t="str">
        <x:v>保持现有范围</x:v>
      </x:c>
      <x:c r="L41" s="18" t="str">
        <x:v>metallurgy.catalog.f001.steel_liquidus_temperature.v1</x:v>
      </x:c>
      <x:c r="M41" s="18" t="str">
        <x:v>same</x:v>
      </x:c>
    </x:row>
    <x:row r="42" ht="42" hidden="0" customHeight="1">
      <x:c r="A42" s="18" t="n">
        <x:v>41</x:v>
      </x:c>
      <x:c r="B42" s="18" t="str">
        <x:v>F002</x:v>
      </x:c>
      <x:c r="C42" s="18" t="str">
        <x:v>钢液固相线温度</x:v>
      </x:c>
      <x:c r="D42" s="18" t="str">
        <x:v>已实现</x:v>
      </x:c>
      <x:c r="E42" s="18" t="str">
        <x:v>保持现状</x:v>
      </x:c>
      <x:c r="F42" s="18" t="str">
        <x:v>F002</x:v>
      </x:c>
      <x:c r="G42" s="18" t="str">
        <x:v>是</x:v>
      </x:c>
      <x:c r="H42" s="18" t="str">
        <x:v>连铸质量与二冷</x:v>
      </x:c>
      <x:c r="I42" s="18" t="str">
        <x:v>保持当前实现、数据库和资格元数据</x:v>
      </x:c>
      <x:c r="J42" s="18" t="str">
        <x:v>保持现有范围</x:v>
      </x:c>
      <x:c r="K42" s="18" t="str">
        <x:v>保持现有范围</x:v>
      </x:c>
      <x:c r="L42" s="18" t="str">
        <x:v>metallurgy.catalog.f002.steel_solidus_temperature.v1</x:v>
      </x:c>
      <x:c r="M42" s="18" t="str">
        <x:v>same</x:v>
      </x:c>
    </x:row>
    <x:row r="43" ht="42" hidden="0" customHeight="1">
      <x:c r="A43" s="18" t="n">
        <x:v>42</x:v>
      </x:c>
      <x:c r="B43" s="18" t="str">
        <x:v>F004</x:v>
      </x:c>
      <x:c r="C43" s="18" t="str">
        <x:v>钢液凝固分数曲线</x:v>
      </x:c>
      <x:c r="D43" s="18" t="str">
        <x:v>已实现</x:v>
      </x:c>
      <x:c r="E43" s="18" t="str">
        <x:v>保持现状</x:v>
      </x:c>
      <x:c r="F43" s="18" t="str">
        <x:v>F004</x:v>
      </x:c>
      <x:c r="G43" s="18" t="str">
        <x:v>是</x:v>
      </x:c>
      <x:c r="H43" s="18" t="str">
        <x:v>连铸质量与二冷</x:v>
      </x:c>
      <x:c r="I43" s="18" t="str">
        <x:v>保持当前实现、数据库和资格元数据</x:v>
      </x:c>
      <x:c r="J43" s="18" t="str">
        <x:v>保持现有范围</x:v>
      </x:c>
      <x:c r="K43" s="18" t="str">
        <x:v>保持现有范围</x:v>
      </x:c>
      <x:c r="L43" s="18" t="str">
        <x:v>metallurgy.catalog.f004.solid_fraction_curve.v1</x:v>
      </x:c>
      <x:c r="M43" s="18" t="str">
        <x:v>same</x:v>
      </x:c>
    </x:row>
    <x:row r="44" ht="42" hidden="0" customHeight="1">
      <x:c r="A44" s="18" t="n">
        <x:v>43</x:v>
      </x:c>
      <x:c r="B44" s="18" t="str">
        <x:v>F007</x:v>
      </x:c>
      <x:c r="C44" s="18" t="str">
        <x:v>结晶器热流计算</x:v>
      </x:c>
      <x:c r="D44" s="18" t="str">
        <x:v>已实现</x:v>
      </x:c>
      <x:c r="E44" s="18" t="str">
        <x:v>保持现状</x:v>
      </x:c>
      <x:c r="F44" s="18" t="str">
        <x:v>F007</x:v>
      </x:c>
      <x:c r="G44" s="18" t="str">
        <x:v>是</x:v>
      </x:c>
      <x:c r="H44" s="18" t="str">
        <x:v>连铸质量与二冷</x:v>
      </x:c>
      <x:c r="I44" s="18" t="str">
        <x:v>保持当前实现、数据库和资格元数据</x:v>
      </x:c>
      <x:c r="J44" s="18" t="str">
        <x:v>保持现有范围</x:v>
      </x:c>
      <x:c r="K44" s="18" t="str">
        <x:v>保持现有范围</x:v>
      </x:c>
      <x:c r="L44" s="18" t="str">
        <x:v>metallurgy.catalog.f007.mold_heat_flux.v1</x:v>
      </x:c>
      <x:c r="M44" s="18" t="str">
        <x:v>same</x:v>
      </x:c>
    </x:row>
    <x:row r="45" ht="42" hidden="0" customHeight="1">
      <x:c r="A45" s="18" t="n">
        <x:v>44</x:v>
      </x:c>
      <x:c r="B45" s="18" t="str">
        <x:v>F005</x:v>
      </x:c>
      <x:c r="C45" s="18" t="str">
        <x:v>一维坯壳厚度</x:v>
      </x:c>
      <x:c r="D45" s="18" t="str">
        <x:v>已实现</x:v>
      </x:c>
      <x:c r="E45" s="18" t="str">
        <x:v>保持现状</x:v>
      </x:c>
      <x:c r="F45" s="18" t="str">
        <x:v>F005</x:v>
      </x:c>
      <x:c r="G45" s="18" t="str">
        <x:v>是</x:v>
      </x:c>
      <x:c r="H45" s="18" t="str">
        <x:v>连铸质量与二冷</x:v>
      </x:c>
      <x:c r="I45" s="18" t="str">
        <x:v>保持当前实现、数据库和资格元数据</x:v>
      </x:c>
      <x:c r="J45" s="18" t="str">
        <x:v>保持现有范围</x:v>
      </x:c>
      <x:c r="K45" s="18" t="str">
        <x:v>保持现有范围</x:v>
      </x:c>
      <x:c r="L45" s="18" t="str">
        <x:v>metallurgy.catalog.f005.one_dimensional_shell_growth.v1</x:v>
      </x:c>
      <x:c r="M45" s="18" t="str">
        <x:v>same</x:v>
      </x:c>
    </x:row>
    <x:row r="46" ht="42" hidden="0" customHeight="1">
      <x:c r="A46" s="18" t="n">
        <x:v>45</x:v>
      </x:c>
      <x:c r="B46" s="18" t="str">
        <x:v>F006</x:v>
      </x:c>
      <x:c r="C46" s="18" t="str">
        <x:v>凝固终点预测</x:v>
      </x:c>
      <x:c r="D46" s="18" t="str">
        <x:v>已实现</x:v>
      </x:c>
      <x:c r="E46" s="18" t="str">
        <x:v>保持现状</x:v>
      </x:c>
      <x:c r="F46" s="18" t="str">
        <x:v>F006</x:v>
      </x:c>
      <x:c r="G46" s="18" t="str">
        <x:v>是</x:v>
      </x:c>
      <x:c r="H46" s="18" t="str">
        <x:v>连铸质量与二冷</x:v>
      </x:c>
      <x:c r="I46" s="18" t="str">
        <x:v>保持当前实现、数据库和资格元数据</x:v>
      </x:c>
      <x:c r="J46" s="18" t="str">
        <x:v>保持现有范围</x:v>
      </x:c>
      <x:c r="K46" s="18" t="str">
        <x:v>保持现有范围</x:v>
      </x:c>
      <x:c r="L46" s="18" t="str">
        <x:v>metallurgy.catalog.f006.solidification_end_prediction.v1</x:v>
      </x:c>
      <x:c r="M46" s="18" t="str">
        <x:v>same</x:v>
      </x:c>
    </x:row>
    <x:row r="47" ht="42" hidden="0" customHeight="1">
      <x:c r="A47" s="18" t="n">
        <x:v>46</x:v>
      </x:c>
      <x:c r="B47" s="18" t="str">
        <x:v>C103</x:v>
      </x:c>
      <x:c r="C47" s="18" t="str">
        <x:v>一维 Fick 数值扩散</x:v>
      </x:c>
      <x:c r="D47" s="18" t="str">
        <x:v>已实现</x:v>
      </x:c>
      <x:c r="E47" s="18" t="str">
        <x:v>保持现状</x:v>
      </x:c>
      <x:c r="F47" s="18" t="str">
        <x:v>C003</x:v>
      </x:c>
      <x:c r="G47" s="18" t="str">
        <x:v>是</x:v>
      </x:c>
      <x:c r="H47" s="18" t="str">
        <x:v>动力学与传递</x:v>
      </x:c>
      <x:c r="I47" s="18" t="str">
        <x:v>保持当前实现、数据库和资格元数据</x:v>
      </x:c>
      <x:c r="J47" s="18" t="str">
        <x:v>保持现有范围</x:v>
      </x:c>
      <x:c r="K47" s="18" t="str">
        <x:v>保持现有范围</x:v>
      </x:c>
      <x:c r="L47" s="18" t="str">
        <x:v>metallurgy.catalog.c003.fick_1d_numerical.v1</x:v>
      </x:c>
      <x:c r="M47" s="18" t="str">
        <x:v>catalog_equivalent_different_runtime_code</x:v>
      </x:c>
    </x:row>
    <x:row r="48" ht="42" hidden="0" customHeight="1">
      <x:c r="A48" s="18" t="n">
        <x:v>47</x:v>
      </x:c>
      <x:c r="B48" s="18" t="str">
        <x:v>C005</x:v>
      </x:c>
      <x:c r="C48" s="18" t="str">
        <x:v>正常晶粒长大动力学</x:v>
      </x:c>
      <x:c r="D48" s="18" t="str">
        <x:v>已实现</x:v>
      </x:c>
      <x:c r="E48" s="18" t="str">
        <x:v>保持现状</x:v>
      </x:c>
      <x:c r="F48" s="18" t="str">
        <x:v>C005</x:v>
      </x:c>
      <x:c r="G48" s="18" t="str">
        <x:v>是</x:v>
      </x:c>
      <x:c r="H48" s="18" t="str">
        <x:v>动力学与传递</x:v>
      </x:c>
      <x:c r="I48" s="18" t="str">
        <x:v>保持当前实现、数据库和资格元数据</x:v>
      </x:c>
      <x:c r="J48" s="18" t="str">
        <x:v>保持现有范围</x:v>
      </x:c>
      <x:c r="K48" s="18" t="str">
        <x:v>保持现有范围</x:v>
      </x:c>
      <x:c r="L48" s="18" t="str">
        <x:v>metallurgy.catalog.c005.grain_growth.v1</x:v>
      </x:c>
      <x:c r="M48" s="18" t="str">
        <x:v>same</x:v>
      </x:c>
    </x:row>
    <x:row r="49" ht="42" hidden="0" customHeight="1">
      <x:c r="A49" s="18" t="n">
        <x:v>48</x:v>
      </x:c>
      <x:c r="B49" s="18" t="str">
        <x:v>C006</x:v>
      </x:c>
      <x:c r="C49" s="18" t="str">
        <x:v>球形颗粒缩核反应</x:v>
      </x:c>
      <x:c r="D49" s="18" t="str">
        <x:v>已实现</x:v>
      </x:c>
      <x:c r="E49" s="18" t="str">
        <x:v>保持现状</x:v>
      </x:c>
      <x:c r="F49" s="18" t="str">
        <x:v>C006</x:v>
      </x:c>
      <x:c r="G49" s="18" t="str">
        <x:v>是</x:v>
      </x:c>
      <x:c r="H49" s="18" t="str">
        <x:v>动力学与传递</x:v>
      </x:c>
      <x:c r="I49" s="18" t="str">
        <x:v>保持当前实现、数据库和资格元数据</x:v>
      </x:c>
      <x:c r="J49" s="18" t="str">
        <x:v>保持现有范围</x:v>
      </x:c>
      <x:c r="K49" s="18" t="str">
        <x:v>保持现有范围</x:v>
      </x:c>
      <x:c r="L49" s="18" t="str">
        <x:v>metallurgy.catalog.c006.shrinking_core.v1</x:v>
      </x:c>
      <x:c r="M49" s="18" t="str">
        <x:v>same</x:v>
      </x:c>
    </x:row>
    <x:row r="50" ht="42" hidden="0" customHeight="1">
      <x:c r="A50" s="18" t="n">
        <x:v>49</x:v>
      </x:c>
      <x:c r="B50" s="18" t="str">
        <x:v>C007</x:v>
      </x:c>
      <x:c r="C50" s="18" t="str">
        <x:v>抛物线氧化动力学</x:v>
      </x:c>
      <x:c r="D50" s="18" t="str">
        <x:v>已实现</x:v>
      </x:c>
      <x:c r="E50" s="18" t="str">
        <x:v>保持现状</x:v>
      </x:c>
      <x:c r="F50" s="18" t="str">
        <x:v>C007</x:v>
      </x:c>
      <x:c r="G50" s="18" t="str">
        <x:v>是</x:v>
      </x:c>
      <x:c r="H50" s="18" t="str">
        <x:v>动力学与传递</x:v>
      </x:c>
      <x:c r="I50" s="18" t="str">
        <x:v>保持当前实现、数据库和资格元数据</x:v>
      </x:c>
      <x:c r="J50" s="18" t="str">
        <x:v>保持现有范围</x:v>
      </x:c>
      <x:c r="K50" s="18" t="str">
        <x:v>保持现有范围</x:v>
      </x:c>
      <x:c r="L50" s="18" t="str">
        <x:v>metallurgy.catalog.c007.parabolic_oxidation.v1</x:v>
      </x:c>
      <x:c r="M50" s="18" t="str">
        <x:v>same</x:v>
      </x:c>
    </x:row>
    <x:row r="51" ht="42" hidden="0" customHeight="1">
      <x:c r="A51" s="18" t="n">
        <x:v>50</x:v>
      </x:c>
      <x:c r="B51" s="18" t="str">
        <x:v>B012</x:v>
      </x:c>
      <x:c r="C51" s="18" t="str">
        <x:v>绝热反应温度</x:v>
      </x:c>
      <x:c r="D51" s="18" t="str">
        <x:v>已实现</x:v>
      </x:c>
      <x:c r="E51" s="18" t="str">
        <x:v>保持现状</x:v>
      </x:c>
      <x:c r="F51" s="18" t="str">
        <x:v>B012</x:v>
      </x:c>
      <x:c r="G51" s="18" t="str">
        <x:v>是</x:v>
      </x:c>
      <x:c r="H51" s="18" t="str">
        <x:v>热力学与相平衡</x:v>
      </x:c>
      <x:c r="I51" s="18" t="str">
        <x:v>保持当前实现、数据库和资格元数据</x:v>
      </x:c>
      <x:c r="J51" s="18" t="str">
        <x:v>保持现有范围</x:v>
      </x:c>
      <x:c r="K51" s="18" t="str">
        <x:v>保持现有范围</x:v>
      </x:c>
      <x:c r="L51" s="18" t="str">
        <x:v>metallurgy.catalog.b012.adiabatic_reaction_temperature.v1</x:v>
      </x:c>
      <x:c r="M51" s="18" t="str">
        <x:v>same</x:v>
      </x:c>
    </x:row>
    <x:row r="52" ht="42" hidden="0" customHeight="1">
      <x:c r="A52" s="18" t="n">
        <x:v>51</x:v>
      </x:c>
      <x:c r="B52" s="18" t="str">
        <x:v>B013</x:v>
      </x:c>
      <x:c r="C52" s="18" t="str">
        <x:v>理想气体混合平衡</x:v>
      </x:c>
      <x:c r="D52" s="18" t="str">
        <x:v>已实现</x:v>
      </x:c>
      <x:c r="E52" s="18" t="str">
        <x:v>保持现状</x:v>
      </x:c>
      <x:c r="F52" s="18" t="str">
        <x:v>B013</x:v>
      </x:c>
      <x:c r="G52" s="18" t="str">
        <x:v>是</x:v>
      </x:c>
      <x:c r="H52" s="18" t="str">
        <x:v>热力学与相平衡</x:v>
      </x:c>
      <x:c r="I52" s="18" t="str">
        <x:v>保持当前实现、数据库和资格元数据</x:v>
      </x:c>
      <x:c r="J52" s="18" t="str">
        <x:v>保持现有范围</x:v>
      </x:c>
      <x:c r="K52" s="18" t="str">
        <x:v>保持现有范围</x:v>
      </x:c>
      <x:c r="L52" s="18" t="str">
        <x:v>metallurgy.catalog.b013.ideal_gas_equilibrium.v1</x:v>
      </x:c>
      <x:c r="M52" s="18" t="str">
        <x:v>same</x:v>
      </x:c>
    </x:row>
    <x:row r="53" ht="42" hidden="0" customHeight="1">
      <x:c r="A53" s="18" t="n">
        <x:v>52</x:v>
      </x:c>
      <x:c r="B53" s="18" t="str">
        <x:v>B016</x:v>
      </x:c>
      <x:c r="C53" s="18" t="str">
        <x:v>Redlich-Kister超额Gibbs</x:v>
      </x:c>
      <x:c r="D53" s="18" t="str">
        <x:v>已实现</x:v>
      </x:c>
      <x:c r="E53" s="18" t="str">
        <x:v>保持现状</x:v>
      </x:c>
      <x:c r="F53" s="18" t="str">
        <x:v>B016</x:v>
      </x:c>
      <x:c r="G53" s="18" t="str">
        <x:v>是</x:v>
      </x:c>
      <x:c r="H53" s="18" t="str">
        <x:v>热力学与相平衡</x:v>
      </x:c>
      <x:c r="I53" s="18" t="str">
        <x:v>保持当前实现、数据库和资格元数据</x:v>
      </x:c>
      <x:c r="J53" s="18" t="str">
        <x:v>保持现有范围</x:v>
      </x:c>
      <x:c r="K53" s="18" t="str">
        <x:v>保持现有范围</x:v>
      </x:c>
      <x:c r="L53" s="18" t="str">
        <x:v>metallurgy.catalog.b016.redlich_kister_excess_gibbs.v1</x:v>
      </x:c>
      <x:c r="M53" s="18" t="str">
        <x:v>same</x:v>
      </x:c>
    </x:row>
    <x:row r="54" ht="42" hidden="0" customHeight="1">
      <x:c r="A54" s="18" t="n">
        <x:v>53</x:v>
      </x:c>
      <x:c r="B54" s="18" t="str">
        <x:v>B017</x:v>
      </x:c>
      <x:c r="C54" s="18" t="str">
        <x:v>Henry/Raoult标准态切换</x:v>
      </x:c>
      <x:c r="D54" s="18" t="str">
        <x:v>已实现</x:v>
      </x:c>
      <x:c r="E54" s="18" t="str">
        <x:v>保持现状</x:v>
      </x:c>
      <x:c r="F54" s="18" t="str">
        <x:v>B017</x:v>
      </x:c>
      <x:c r="G54" s="18" t="str">
        <x:v>是</x:v>
      </x:c>
      <x:c r="H54" s="18" t="str">
        <x:v>热力学与相平衡</x:v>
      </x:c>
      <x:c r="I54" s="18" t="str">
        <x:v>保持当前实现、数据库和资格元数据</x:v>
      </x:c>
      <x:c r="J54" s="18" t="str">
        <x:v>保持现有范围</x:v>
      </x:c>
      <x:c r="K54" s="18" t="str">
        <x:v>保持现有范围</x:v>
      </x:c>
      <x:c r="L54" s="18" t="str">
        <x:v>metallurgy.catalog.b017.henry_raoult_standard_state.v1</x:v>
      </x:c>
      <x:c r="M54" s="18" t="str">
        <x:v>same</x:v>
      </x:c>
    </x:row>
    <x:row r="55" ht="42" hidden="0" customHeight="1">
      <x:c r="A55" s="18" t="n">
        <x:v>54</x:v>
      </x:c>
      <x:c r="B55" s="18" t="str">
        <x:v>D005</x:v>
      </x:c>
      <x:c r="C55" s="18" t="str">
        <x:v>炉渣量估算</x:v>
      </x:c>
      <x:c r="D55" s="18" t="str">
        <x:v>已实现</x:v>
      </x:c>
      <x:c r="E55" s="18" t="str">
        <x:v>保持现状</x:v>
      </x:c>
      <x:c r="F55" s="18" t="str">
        <x:v>D005</x:v>
      </x:c>
      <x:c r="G55" s="18" t="str">
        <x:v>是</x:v>
      </x:c>
      <x:c r="H55" s="18" t="str">
        <x:v>转炉炼钢</x:v>
      </x:c>
      <x:c r="I55" s="18" t="str">
        <x:v>保持当前实现、数据库和资格元数据</x:v>
      </x:c>
      <x:c r="J55" s="18" t="str">
        <x:v>保持现有范围</x:v>
      </x:c>
      <x:c r="K55" s="18" t="str">
        <x:v>保持现有范围</x:v>
      </x:c>
      <x:c r="L55" s="18" t="str">
        <x:v>metallurgy.catalog.d005.bof_slag_mass.v1</x:v>
      </x:c>
      <x:c r="M55" s="18" t="str">
        <x:v>same</x:v>
      </x:c>
    </x:row>
    <x:row r="56" ht="42" hidden="0" customHeight="1">
      <x:c r="A56" s="18" t="n">
        <x:v>55</x:v>
      </x:c>
      <x:c r="B56" s="18" t="str">
        <x:v>D006</x:v>
      </x:c>
      <x:c r="C56" s="18" t="str">
        <x:v>炉渣碱度计算</x:v>
      </x:c>
      <x:c r="D56" s="18" t="str">
        <x:v>已实现</x:v>
      </x:c>
      <x:c r="E56" s="18" t="str">
        <x:v>保持现状</x:v>
      </x:c>
      <x:c r="F56" s="18" t="str">
        <x:v>D006</x:v>
      </x:c>
      <x:c r="G56" s="18" t="str">
        <x:v>是</x:v>
      </x:c>
      <x:c r="H56" s="18" t="str">
        <x:v>转炉炼钢</x:v>
      </x:c>
      <x:c r="I56" s="18" t="str">
        <x:v>保持当前实现、数据库和资格元数据</x:v>
      </x:c>
      <x:c r="J56" s="18" t="str">
        <x:v>保持现有范围</x:v>
      </x:c>
      <x:c r="K56" s="18" t="str">
        <x:v>保持现有范围</x:v>
      </x:c>
      <x:c r="L56" s="18" t="str">
        <x:v>metallurgy.catalog.d006.slag_basicity.v1</x:v>
      </x:c>
      <x:c r="M56" s="18" t="str">
        <x:v>same</x:v>
      </x:c>
    </x:row>
    <x:row r="57" ht="42" hidden="0" customHeight="1">
      <x:c r="A57" s="18" t="n">
        <x:v>56</x:v>
      </x:c>
      <x:c r="B57" s="18" t="str">
        <x:v>D010</x:v>
      </x:c>
      <x:c r="C57" s="18" t="str">
        <x:v>磷分配比</x:v>
      </x:c>
      <x:c r="D57" s="18" t="str">
        <x:v>已实现</x:v>
      </x:c>
      <x:c r="E57" s="18" t="str">
        <x:v>保持现状</x:v>
      </x:c>
      <x:c r="F57" s="18" t="str">
        <x:v>D010</x:v>
      </x:c>
      <x:c r="G57" s="18" t="str">
        <x:v>是</x:v>
      </x:c>
      <x:c r="H57" s="18" t="str">
        <x:v>转炉炼钢</x:v>
      </x:c>
      <x:c r="I57" s="18" t="str">
        <x:v>保持当前实现、数据库和资格元数据</x:v>
      </x:c>
      <x:c r="J57" s="18" t="str">
        <x:v>保持现有范围</x:v>
      </x:c>
      <x:c r="K57" s="18" t="str">
        <x:v>保持现有范围</x:v>
      </x:c>
      <x:c r="L57" s="18" t="str">
        <x:v>metallurgy.catalog.d010.phosphorus_partition.v1</x:v>
      </x:c>
      <x:c r="M57" s="18" t="str">
        <x:v>same</x:v>
      </x:c>
    </x:row>
    <x:row r="58" ht="42" hidden="0" customHeight="1">
      <x:c r="A58" s="18" t="n">
        <x:v>57</x:v>
      </x:c>
      <x:c r="B58" s="18" t="str">
        <x:v>D011</x:v>
      </x:c>
      <x:c r="C58" s="18" t="str">
        <x:v>硫分配比</x:v>
      </x:c>
      <x:c r="D58" s="18" t="str">
        <x:v>已实现</x:v>
      </x:c>
      <x:c r="E58" s="18" t="str">
        <x:v>保持现状</x:v>
      </x:c>
      <x:c r="F58" s="18" t="str">
        <x:v>D011</x:v>
      </x:c>
      <x:c r="G58" s="18" t="str">
        <x:v>是</x:v>
      </x:c>
      <x:c r="H58" s="18" t="str">
        <x:v>转炉炼钢</x:v>
      </x:c>
      <x:c r="I58" s="18" t="str">
        <x:v>保持当前实现、数据库和资格元数据</x:v>
      </x:c>
      <x:c r="J58" s="18" t="str">
        <x:v>保持现有范围</x:v>
      </x:c>
      <x:c r="K58" s="18" t="str">
        <x:v>保持现有范围</x:v>
      </x:c>
      <x:c r="L58" s="18" t="str">
        <x:v>metallurgy.catalog.d011.sulfur_partition.v1</x:v>
      </x:c>
      <x:c r="M58" s="18" t="str">
        <x:v>same</x:v>
      </x:c>
    </x:row>
    <x:row r="59" ht="42" hidden="0" customHeight="1">
      <x:c r="A59" s="18" t="n">
        <x:v>58</x:v>
      </x:c>
      <x:c r="B59" s="18" t="str">
        <x:v>D012</x:v>
      </x:c>
      <x:c r="C59" s="18" t="str">
        <x:v>锰氧化平衡</x:v>
      </x:c>
      <x:c r="D59" s="18" t="str">
        <x:v>已实现</x:v>
      </x:c>
      <x:c r="E59" s="18" t="str">
        <x:v>保持现状</x:v>
      </x:c>
      <x:c r="F59" s="18" t="str">
        <x:v>D012</x:v>
      </x:c>
      <x:c r="G59" s="18" t="str">
        <x:v>是</x:v>
      </x:c>
      <x:c r="H59" s="18" t="str">
        <x:v>转炉炼钢</x:v>
      </x:c>
      <x:c r="I59" s="18" t="str">
        <x:v>保持当前实现、数据库和资格元数据</x:v>
      </x:c>
      <x:c r="J59" s="18" t="str">
        <x:v>保持现有范围</x:v>
      </x:c>
      <x:c r="K59" s="18" t="str">
        <x:v>保持现有范围</x:v>
      </x:c>
      <x:c r="L59" s="18" t="str">
        <x:v>metallurgy.catalog.d012.manganese_oxidation.v1</x:v>
      </x:c>
      <x:c r="M59" s="18" t="str">
        <x:v>same</x:v>
      </x:c>
    </x:row>
    <x:row r="60" ht="42" hidden="0" customHeight="1">
      <x:c r="A60" s="18" t="n">
        <x:v>59</x:v>
      </x:c>
      <x:c r="B60" s="18" t="str">
        <x:v>D013</x:v>
      </x:c>
      <x:c r="C60" s="18" t="str">
        <x:v>硅氧化平衡</x:v>
      </x:c>
      <x:c r="D60" s="18" t="str">
        <x:v>已实现</x:v>
      </x:c>
      <x:c r="E60" s="18" t="str">
        <x:v>保持现状</x:v>
      </x:c>
      <x:c r="F60" s="18" t="str">
        <x:v>D013</x:v>
      </x:c>
      <x:c r="G60" s="18" t="str">
        <x:v>是</x:v>
      </x:c>
      <x:c r="H60" s="18" t="str">
        <x:v>转炉炼钢</x:v>
      </x:c>
      <x:c r="I60" s="18" t="str">
        <x:v>保持当前实现、数据库和资格元数据</x:v>
      </x:c>
      <x:c r="J60" s="18" t="str">
        <x:v>保持现有范围</x:v>
      </x:c>
      <x:c r="K60" s="18" t="str">
        <x:v>保持现有范围</x:v>
      </x:c>
      <x:c r="L60" s="18" t="str">
        <x:v>metallurgy.catalog.d013.silicon_oxidation.v1</x:v>
      </x:c>
      <x:c r="M60" s="18" t="str">
        <x:v>same</x:v>
      </x:c>
    </x:row>
    <x:row r="61" ht="42" hidden="0" customHeight="1">
      <x:c r="A61" s="18" t="n">
        <x:v>60</x:v>
      </x:c>
      <x:c r="B61" s="18" t="str">
        <x:v>D014</x:v>
      </x:c>
      <x:c r="C61" s="18" t="str">
        <x:v>TFe与铁损估算</x:v>
      </x:c>
      <x:c r="D61" s="18" t="str">
        <x:v>已实现</x:v>
      </x:c>
      <x:c r="E61" s="18" t="str">
        <x:v>保持现状</x:v>
      </x:c>
      <x:c r="F61" s="18" t="str">
        <x:v>D014</x:v>
      </x:c>
      <x:c r="G61" s="18" t="str">
        <x:v>是</x:v>
      </x:c>
      <x:c r="H61" s="18" t="str">
        <x:v>转炉炼钢</x:v>
      </x:c>
      <x:c r="I61" s="18" t="str">
        <x:v>保持当前实现、数据库和资格元数据</x:v>
      </x:c>
      <x:c r="J61" s="18" t="str">
        <x:v>保持现有范围</x:v>
      </x:c>
      <x:c r="K61" s="18" t="str">
        <x:v>保持现有范围</x:v>
      </x:c>
      <x:c r="L61" s="18" t="str">
        <x:v>metallurgy.catalog.d014.tfe_iron_loss.v1</x:v>
      </x:c>
      <x:c r="M61" s="18" t="str">
        <x:v>same</x:v>
      </x:c>
    </x:row>
    <x:row r="62" ht="42" hidden="0" customHeight="1">
      <x:c r="A62" s="18" t="n">
        <x:v>61</x:v>
      </x:c>
      <x:c r="B62" s="18" t="str">
        <x:v>D007</x:v>
      </x:c>
      <x:c r="C62" s="18" t="str">
        <x:v>脱碳速率模型</x:v>
      </x:c>
      <x:c r="D62" s="18" t="str">
        <x:v>已实现</x:v>
      </x:c>
      <x:c r="E62" s="18" t="str">
        <x:v>保持现状</x:v>
      </x:c>
      <x:c r="F62" s="18" t="str">
        <x:v>D007</x:v>
      </x:c>
      <x:c r="G62" s="18" t="str">
        <x:v>是</x:v>
      </x:c>
      <x:c r="H62" s="18" t="str">
        <x:v>转炉炼钢</x:v>
      </x:c>
      <x:c r="I62" s="18" t="str">
        <x:v>保持当前实现、数据库和资格元数据</x:v>
      </x:c>
      <x:c r="J62" s="18" t="str">
        <x:v>保持现有范围</x:v>
      </x:c>
      <x:c r="K62" s="18" t="str">
        <x:v>保持现有范围</x:v>
      </x:c>
      <x:c r="L62" s="18" t="str">
        <x:v>metallurgy.catalog.d007.decarburization_rate.v1</x:v>
      </x:c>
      <x:c r="M62" s="18" t="str">
        <x:v>same</x:v>
      </x:c>
    </x:row>
    <x:row r="63" ht="42" hidden="0" customHeight="1">
      <x:c r="A63" s="18" t="n">
        <x:v>62</x:v>
      </x:c>
      <x:c r="B63" s="18" t="str">
        <x:v>D015</x:v>
      </x:c>
      <x:c r="C63" s="18" t="str">
        <x:v>炉气生成量</x:v>
      </x:c>
      <x:c r="D63" s="18" t="str">
        <x:v>已实现</x:v>
      </x:c>
      <x:c r="E63" s="18" t="str">
        <x:v>保持现状</x:v>
      </x:c>
      <x:c r="F63" s="18" t="str">
        <x:v>D015</x:v>
      </x:c>
      <x:c r="G63" s="18" t="str">
        <x:v>是</x:v>
      </x:c>
      <x:c r="H63" s="18" t="str">
        <x:v>转炉炼钢</x:v>
      </x:c>
      <x:c r="I63" s="18" t="str">
        <x:v>保持当前实现、数据库和资格元数据</x:v>
      </x:c>
      <x:c r="J63" s="18" t="str">
        <x:v>保持现有范围</x:v>
      </x:c>
      <x:c r="K63" s="18" t="str">
        <x:v>保持现有范围</x:v>
      </x:c>
      <x:c r="L63" s="18" t="str">
        <x:v>metallurgy.catalog.d015.furnace_gas_generation.v1</x:v>
      </x:c>
      <x:c r="M63" s="18" t="str">
        <x:v>same</x:v>
      </x:c>
    </x:row>
    <x:row r="64" ht="42" hidden="0" customHeight="1">
      <x:c r="A64" s="18" t="n">
        <x:v>63</x:v>
      </x:c>
      <x:c r="B64" s="18" t="str">
        <x:v>D016</x:v>
      </x:c>
      <x:c r="C64" s="18" t="str">
        <x:v>氧利用率计算</x:v>
      </x:c>
      <x:c r="D64" s="18" t="str">
        <x:v>已实现</x:v>
      </x:c>
      <x:c r="E64" s="18" t="str">
        <x:v>保持现状</x:v>
      </x:c>
      <x:c r="F64" s="18" t="str">
        <x:v>D016</x:v>
      </x:c>
      <x:c r="G64" s="18" t="str">
        <x:v>是</x:v>
      </x:c>
      <x:c r="H64" s="18" t="str">
        <x:v>转炉炼钢</x:v>
      </x:c>
      <x:c r="I64" s="18" t="str">
        <x:v>保持当前实现、数据库和资格元数据</x:v>
      </x:c>
      <x:c r="J64" s="18" t="str">
        <x:v>保持现有范围</x:v>
      </x:c>
      <x:c r="K64" s="18" t="str">
        <x:v>保持现有范围</x:v>
      </x:c>
      <x:c r="L64" s="18" t="str">
        <x:v>metallurgy.catalog.d016.oxygen_utilization.v1</x:v>
      </x:c>
      <x:c r="M64" s="18" t="str">
        <x:v>same</x:v>
      </x:c>
    </x:row>
    <x:row r="65" ht="42" hidden="0" customHeight="1">
      <x:c r="A65" s="18" t="n">
        <x:v>64</x:v>
      </x:c>
      <x:c r="B65" s="18" t="str">
        <x:v>E005</x:v>
      </x:c>
      <x:c r="C65" s="18" t="str">
        <x:v>高炉氢平衡</x:v>
      </x:c>
      <x:c r="D65" s="18" t="str">
        <x:v>已实现</x:v>
      </x:c>
      <x:c r="E65" s="18" t="str">
        <x:v>保持现状</x:v>
      </x:c>
      <x:c r="F65" s="18" t="str">
        <x:v>E005</x:v>
      </x:c>
      <x:c r="G65" s="18" t="str">
        <x:v>是</x:v>
      </x:c>
      <x:c r="H65" s="18" t="str">
        <x:v>高炉低碳</x:v>
      </x:c>
      <x:c r="I65" s="18" t="str">
        <x:v>保持当前实现、数据库和资格元数据</x:v>
      </x:c>
      <x:c r="J65" s="18" t="str">
        <x:v>保持现有范围</x:v>
      </x:c>
      <x:c r="K65" s="18" t="str">
        <x:v>保持现有范围</x:v>
      </x:c>
      <x:c r="L65" s="18" t="str">
        <x:v>metallurgy.catalog.e005.bf_hydrogen_balance.v1</x:v>
      </x:c>
      <x:c r="M65" s="18" t="str">
        <x:v>same</x:v>
      </x:c>
    </x:row>
    <x:row r="66" ht="42" hidden="0" customHeight="1">
      <x:c r="A66" s="18" t="n">
        <x:v>65</x:v>
      </x:c>
      <x:c r="B66" s="18" t="str">
        <x:v>E011</x:v>
      </x:c>
      <x:c r="C66" s="18" t="str">
        <x:v>CO/CO2及H2/H2O利用率</x:v>
      </x:c>
      <x:c r="D66" s="18" t="str">
        <x:v>已实现</x:v>
      </x:c>
      <x:c r="E66" s="18" t="str">
        <x:v>保持现状</x:v>
      </x:c>
      <x:c r="F66" s="18" t="str">
        <x:v>E011</x:v>
      </x:c>
      <x:c r="G66" s="18" t="str">
        <x:v>是</x:v>
      </x:c>
      <x:c r="H66" s="18" t="str">
        <x:v>高炉低碳</x:v>
      </x:c>
      <x:c r="I66" s="18" t="str">
        <x:v>保持当前实现、数据库和资格元数据</x:v>
      </x:c>
      <x:c r="J66" s="18" t="str">
        <x:v>保持现有范围</x:v>
      </x:c>
      <x:c r="K66" s="18" t="str">
        <x:v>保持现有范围</x:v>
      </x:c>
      <x:c r="L66" s="18" t="str">
        <x:v>metallurgy.catalog.e011.reducing_gas_utilization.v1</x:v>
      </x:c>
      <x:c r="M66" s="18" t="str">
        <x:v>same</x:v>
      </x:c>
    </x:row>
    <x:row r="67" ht="42" hidden="0" customHeight="1">
      <x:c r="A67" s="18" t="n">
        <x:v>66</x:v>
      </x:c>
      <x:c r="B67" s="18" t="str">
        <x:v>G001</x:v>
      </x:c>
      <x:c r="C67" s="18" t="str">
        <x:v>网格尺度估计</x:v>
      </x:c>
      <x:c r="D67" s="18" t="str">
        <x:v>已实现</x:v>
      </x:c>
      <x:c r="E67" s="18" t="str">
        <x:v>保持现状</x:v>
      </x:c>
      <x:c r="F67" s="18" t="str">
        <x:v>G001</x:v>
      </x:c>
      <x:c r="G67" s="18" t="str">
        <x:v>是</x:v>
      </x:c>
      <x:c r="H67" s="18" t="str">
        <x:v>仿真/优化支撑</x:v>
      </x:c>
      <x:c r="I67" s="18" t="str">
        <x:v>保持当前实现、数据库和资格元数据</x:v>
      </x:c>
      <x:c r="J67" s="18" t="str">
        <x:v>保持现有范围</x:v>
      </x:c>
      <x:c r="K67" s="18" t="str">
        <x:v>保持现有范围</x:v>
      </x:c>
      <x:c r="L67" s="18" t="str">
        <x:v>metallurgy.catalog.g001.mesh_scale_gci.v1</x:v>
      </x:c>
      <x:c r="M67" s="18" t="str">
        <x:v>same</x:v>
      </x:c>
    </x:row>
    <x:row r="68" ht="42" hidden="0" customHeight="1">
      <x:c r="A68" s="18" t="n">
        <x:v>67</x:v>
      </x:c>
      <x:c r="B68" s="18" t="str">
        <x:v>G002</x:v>
      </x:c>
      <x:c r="C68" s="18" t="str">
        <x:v>时间步与CFL校验</x:v>
      </x:c>
      <x:c r="D68" s="18" t="str">
        <x:v>已实现</x:v>
      </x:c>
      <x:c r="E68" s="18" t="str">
        <x:v>保持现状</x:v>
      </x:c>
      <x:c r="F68" s="18" t="str">
        <x:v>G002</x:v>
      </x:c>
      <x:c r="G68" s="18" t="str">
        <x:v>是</x:v>
      </x:c>
      <x:c r="H68" s="18" t="str">
        <x:v>仿真/优化支撑</x:v>
      </x:c>
      <x:c r="I68" s="18" t="str">
        <x:v>保持当前实现、数据库和资格元数据</x:v>
      </x:c>
      <x:c r="J68" s="18" t="str">
        <x:v>保持现有范围</x:v>
      </x:c>
      <x:c r="K68" s="18" t="str">
        <x:v>保持现有范围</x:v>
      </x:c>
      <x:c r="L68" s="18" t="str">
        <x:v>metallurgy.catalog.g002.explicit_timestep_stability.v1</x:v>
      </x:c>
      <x:c r="M68" s="18" t="str">
        <x:v>same</x:v>
      </x:c>
    </x:row>
    <x:row r="69" ht="42" hidden="0" customHeight="1">
      <x:c r="A69" s="18" t="n">
        <x:v>68</x:v>
      </x:c>
      <x:c r="B69" s="18" t="str">
        <x:v>C009</x:v>
      </x:c>
      <x:c r="C69" s="18" t="str">
        <x:v>导热系数混合规则</x:v>
      </x:c>
      <x:c r="D69" s="18" t="str">
        <x:v>已实现</x:v>
      </x:c>
      <x:c r="E69" s="18" t="str">
        <x:v>保持现状</x:v>
      </x:c>
      <x:c r="F69" s="18" t="str">
        <x:v>C009</x:v>
      </x:c>
      <x:c r="G69" s="18" t="str">
        <x:v>是</x:v>
      </x:c>
      <x:c r="H69" s="18" t="str">
        <x:v>动力学与传递</x:v>
      </x:c>
      <x:c r="I69" s="18" t="str">
        <x:v>保持当前实现、数据库和资格元数据</x:v>
      </x:c>
      <x:c r="J69" s="18" t="str">
        <x:v>保持现有范围</x:v>
      </x:c>
      <x:c r="K69" s="18" t="str">
        <x:v>保持现有范围</x:v>
      </x:c>
      <x:c r="L69" s="18" t="str">
        <x:v>metallurgy.catalog.c009.effective_thermal_conductivity.v1</x:v>
      </x:c>
      <x:c r="M69" s="18" t="str">
        <x:v>same</x:v>
      </x:c>
    </x:row>
    <x:row r="70" ht="42" hidden="0" customHeight="1">
      <x:c r="A70" s="18" t="n">
        <x:v>69</x:v>
      </x:c>
      <x:c r="B70" s="18" t="str">
        <x:v>C010</x:v>
      </x:c>
      <x:c r="C70" s="18" t="str">
        <x:v>填充床颗粒-流体传质系数</x:v>
      </x:c>
      <x:c r="D70" s="18" t="str">
        <x:v>已实现</x:v>
      </x:c>
      <x:c r="E70" s="18" t="str">
        <x:v>保持现状</x:v>
      </x:c>
      <x:c r="F70" s="18" t="str">
        <x:v>C010</x:v>
      </x:c>
      <x:c r="G70" s="18" t="str">
        <x:v>是</x:v>
      </x:c>
      <x:c r="H70" s="18" t="str">
        <x:v>动力学与传递</x:v>
      </x:c>
      <x:c r="I70" s="18" t="str">
        <x:v>保持当前实现、数据库和资格元数据</x:v>
      </x:c>
      <x:c r="J70" s="18" t="str">
        <x:v>保持现有范围</x:v>
      </x:c>
      <x:c r="K70" s="18" t="str">
        <x:v>保持现有范围</x:v>
      </x:c>
      <x:c r="L70" s="18" t="str">
        <x:v>metallurgy.catalog.c010.packed_bed_mass_transfer.v1</x:v>
      </x:c>
      <x:c r="M70" s="18" t="str">
        <x:v>same</x:v>
      </x:c>
    </x:row>
    <x:row r="71" ht="42" hidden="0" customHeight="1">
      <x:c r="A71" s="18" t="n">
        <x:v>70</x:v>
      </x:c>
      <x:c r="B71" s="18" t="str">
        <x:v>E006</x:v>
      </x:c>
      <x:c r="C71" s="18" t="str">
        <x:v>简化C-O Rist操作线</x:v>
      </x:c>
      <x:c r="D71" s="18" t="str">
        <x:v>已实现</x:v>
      </x:c>
      <x:c r="E71" s="18" t="str">
        <x:v>保持现状</x:v>
      </x:c>
      <x:c r="F71" s="18" t="str">
        <x:v>E006</x:v>
      </x:c>
      <x:c r="G71" s="18" t="str">
        <x:v>否</x:v>
      </x:c>
      <x:c r="H71" s="18" t="str">
        <x:v>高炉低碳</x:v>
      </x:c>
      <x:c r="I71" s="18" t="str">
        <x:v>保持当前实现、数据库和资格元数据</x:v>
      </x:c>
      <x:c r="J71" s="18" t="str">
        <x:v>保持现有范围</x:v>
      </x:c>
      <x:c r="K71" s="18" t="str">
        <x:v>保持现有范围</x:v>
      </x:c>
      <x:c r="L71" s="18" t="str">
        <x:v>metallurgy.scope_variant.e006.simplified_co_rist.v1</x:v>
      </x:c>
      <x:c r="M71" s="18" t="str">
        <x:v>scope_variant</x:v>
      </x:c>
    </x:row>
    <x:row r="72" ht="42" hidden="0" customHeight="1">
      <x:c r="A72" s="18" t="n">
        <x:v>71</x:v>
      </x:c>
      <x:c r="B72" s="18" t="str">
        <x:v>E007</x:v>
      </x:c>
      <x:c r="C72" s="18" t="str">
        <x:v>高炉两区静态热平衡</x:v>
      </x:c>
      <x:c r="D72" s="18" t="str">
        <x:v>已实现</x:v>
      </x:c>
      <x:c r="E72" s="18" t="str">
        <x:v>保持现状</x:v>
      </x:c>
      <x:c r="F72" s="18" t="str">
        <x:v>E007</x:v>
      </x:c>
      <x:c r="G72" s="18" t="str">
        <x:v>是</x:v>
      </x:c>
      <x:c r="H72" s="18" t="str">
        <x:v>高炉低碳</x:v>
      </x:c>
      <x:c r="I72" s="18" t="str">
        <x:v>保持当前实现、数据库和资格元数据</x:v>
      </x:c>
      <x:c r="J72" s="18" t="str">
        <x:v>保持现有范围</x:v>
      </x:c>
      <x:c r="K72" s="18" t="str">
        <x:v>保持现有范围</x:v>
      </x:c>
      <x:c r="L72" s="18" t="str">
        <x:v>metallurgy.catalog.e007.zonal_heat_balance.v1</x:v>
      </x:c>
      <x:c r="M72" s="18" t="str">
        <x:v>same</x:v>
      </x:c>
    </x:row>
    <x:row r="73" ht="42" hidden="0" customHeight="1">
      <x:c r="A73" s="18" t="n">
        <x:v>72</x:v>
      </x:c>
      <x:c r="B73" s="18" t="str">
        <x:v>E009</x:v>
      </x:c>
      <x:c r="C73" s="18" t="str">
        <x:v>喷煤理论等效替代</x:v>
      </x:c>
      <x:c r="D73" s="18" t="str">
        <x:v>已实现</x:v>
      </x:c>
      <x:c r="E73" s="18" t="str">
        <x:v>保持现状</x:v>
      </x:c>
      <x:c r="F73" s="18" t="str">
        <x:v>E009</x:v>
      </x:c>
      <x:c r="G73" s="18" t="str">
        <x:v>否</x:v>
      </x:c>
      <x:c r="H73" s="18" t="str">
        <x:v>高炉低碳</x:v>
      </x:c>
      <x:c r="I73" s="18" t="str">
        <x:v>保持当前实现、数据库和资格元数据</x:v>
      </x:c>
      <x:c r="J73" s="18" t="str">
        <x:v>保持现有范围</x:v>
      </x:c>
      <x:c r="K73" s="18" t="str">
        <x:v>保持现有范围</x:v>
      </x:c>
      <x:c r="L73" s="18" t="str">
        <x:v>metallurgy.scope_variant.e009.pci_theoretical_equivalence.v1</x:v>
      </x:c>
      <x:c r="M73" s="18" t="str">
        <x:v>scope_variant</x:v>
      </x:c>
    </x:row>
    <x:row r="74" ht="42" hidden="0" customHeight="1">
      <x:c r="A74" s="18" t="n">
        <x:v>73</x:v>
      </x:c>
      <x:c r="B74" s="18" t="str">
        <x:v>E012</x:v>
      </x:c>
      <x:c r="C74" s="18" t="str">
        <x:v>风口前理论煤气量</x:v>
      </x:c>
      <x:c r="D74" s="18" t="str">
        <x:v>已实现</x:v>
      </x:c>
      <x:c r="E74" s="18" t="str">
        <x:v>保持现状</x:v>
      </x:c>
      <x:c r="F74" s="18" t="str">
        <x:v>E012</x:v>
      </x:c>
      <x:c r="G74" s="18" t="str">
        <x:v>是</x:v>
      </x:c>
      <x:c r="H74" s="18" t="str">
        <x:v>高炉低碳</x:v>
      </x:c>
      <x:c r="I74" s="18" t="str">
        <x:v>保持当前实现、数据库和资格元数据</x:v>
      </x:c>
      <x:c r="J74" s="18" t="str">
        <x:v>保持现有范围</x:v>
      </x:c>
      <x:c r="K74" s="18" t="str">
        <x:v>保持现有范围</x:v>
      </x:c>
      <x:c r="L74" s="18" t="str">
        <x:v>metallurgy.catalog.e012.tuyere_theoretical_gas.v1</x:v>
      </x:c>
      <x:c r="M74" s="18" t="str">
        <x:v>same</x:v>
      </x:c>
    </x:row>
    <x:row r="75" ht="42" hidden="0" customHeight="1">
      <x:c r="A75" s="18" t="n">
        <x:v>74</x:v>
      </x:c>
      <x:c r="B75" s="18" t="str">
        <x:v>E014</x:v>
      </x:c>
      <x:c r="C75" s="18" t="str">
        <x:v>料柱Ergun压降</x:v>
      </x:c>
      <x:c r="D75" s="18" t="str">
        <x:v>已实现</x:v>
      </x:c>
      <x:c r="E75" s="18" t="str">
        <x:v>保持现状</x:v>
      </x:c>
      <x:c r="F75" s="18" t="str">
        <x:v>E014</x:v>
      </x:c>
      <x:c r="G75" s="18" t="str">
        <x:v>是</x:v>
      </x:c>
      <x:c r="H75" s="18" t="str">
        <x:v>高炉低碳</x:v>
      </x:c>
      <x:c r="I75" s="18" t="str">
        <x:v>保持当前实现、数据库和资格元数据</x:v>
      </x:c>
      <x:c r="J75" s="18" t="str">
        <x:v>保持现有范围</x:v>
      </x:c>
      <x:c r="K75" s="18" t="str">
        <x:v>保持现有范围</x:v>
      </x:c>
      <x:c r="L75" s="18" t="str">
        <x:v>metallurgy.catalog.e014.ergun_pressure_drop.v1</x:v>
      </x:c>
      <x:c r="M75" s="18" t="str">
        <x:v>same</x:v>
      </x:c>
    </x:row>
    <x:row r="76" ht="42" hidden="0" customHeight="1">
      <x:c r="A76" s="18" t="n">
        <x:v>75</x:v>
      </x:c>
      <x:c r="B76" s="18" t="str">
        <x:v>A009</x:v>
      </x:c>
      <x:c r="C76" s="18" t="str">
        <x:v>异常值检测</x:v>
      </x:c>
      <x:c r="D76" s="40" t="str">
        <x:v>已实现</x:v>
      </x:c>
      <x:c r="E76" s="18" t="str">
        <x:v>P1-W12</x:v>
      </x:c>
      <x:c r="F76" s="18" t="str">
        <x:v>A009</x:v>
      </x:c>
      <x:c r="G76" s="18" t="str">
        <x:v>是</x:v>
      </x:c>
      <x:c r="H76" s="18" t="str">
        <x:v>通用数据与校验</x:v>
      </x:c>
      <x:c r="I76" s="18" t="str">
        <x:v>调用方显式提交表格/数组；解析与人工注入异常基准</x:v>
      </x:c>
      <x:c r="J76" s="18" t="str">
        <x:v>否</x:v>
      </x:c>
      <x:c r="K76" s="18" t="str">
        <x:v>否</x:v>
      </x:c>
      <x:c r="L76" s="18" t="str">
        <x:v>metallurgy.catalog.a009.robust_outlier_detection.v1</x:v>
      </x:c>
      <x:c r="M76" s="18" t="str">
        <x:v>same</x:v>
      </x:c>
    </x:row>
    <x:row r="77" ht="42" hidden="0" customHeight="1">
      <x:c r="A77" s="18" t="n">
        <x:v>76</x:v>
      </x:c>
      <x:c r="B77" s="18" t="str">
        <x:v>A010</x:v>
      </x:c>
      <x:c r="C77" s="18" t="str">
        <x:v>不确定度传播</x:v>
      </x:c>
      <x:c r="D77" s="40" t="str">
        <x:v>已实现</x:v>
      </x:c>
      <x:c r="E77" s="18" t="str">
        <x:v>P1-W12</x:v>
      </x:c>
      <x:c r="F77" s="18" t="str">
        <x:v>A010</x:v>
      </x:c>
      <x:c r="G77" s="18" t="str">
        <x:v>是</x:v>
      </x:c>
      <x:c r="H77" s="18" t="str">
        <x:v>通用数据与校验</x:v>
      </x:c>
      <x:c r="I77" s="18" t="str">
        <x:v>调用方显式提供分布、协方差和计算表达式</x:v>
      </x:c>
      <x:c r="J77" s="18" t="str">
        <x:v>否</x:v>
      </x:c>
      <x:c r="K77" s="18" t="str">
        <x:v>否</x:v>
      </x:c>
      <x:c r="L77" s="18" t="str">
        <x:v>metallurgy.catalog.a010.uncertainty_propagation.v1</x:v>
      </x:c>
      <x:c r="M77" s="18" t="str">
        <x:v>same</x:v>
      </x:c>
    </x:row>
    <x:row r="78" ht="42" hidden="0" customHeight="1">
      <x:c r="A78" s="18" t="n">
        <x:v>77</x:v>
      </x:c>
      <x:c r="B78" s="18" t="str">
        <x:v>B020</x:v>
      </x:c>
      <x:c r="C78" s="18" t="str">
        <x:v>二元相界插值</x:v>
      </x:c>
      <x:c r="D78" s="40" t="str">
        <x:v>已实现</x:v>
      </x:c>
      <x:c r="E78" s="18" t="str">
        <x:v>P1-W12</x:v>
      </x:c>
      <x:c r="F78" s="18" t="str">
        <x:v>B020</x:v>
      </x:c>
      <x:c r="G78" s="18" t="str">
        <x:v>是</x:v>
      </x:c>
      <x:c r="H78" s="18" t="str">
        <x:v>热力学与相平衡</x:v>
      </x:c>
      <x:c r="I78" s="18" t="str">
        <x:v>调用方显式提供相界离散点；禁止隐式外推</x:v>
      </x:c>
      <x:c r="J78" s="18" t="str">
        <x:v>否</x:v>
      </x:c>
      <x:c r="K78" s="18" t="str">
        <x:v>否</x:v>
      </x:c>
      <x:c r="L78" s="18" t="str">
        <x:v>metallurgy.catalog.b020.binary_phase_boundary_interpolation.v1</x:v>
      </x:c>
      <x:c r="M78" s="18" t="str">
        <x:v>same</x:v>
      </x:c>
    </x:row>
    <x:row r="79" ht="42" hidden="0" customHeight="1">
      <x:c r="A79" s="18" t="n">
        <x:v>78</x:v>
      </x:c>
      <x:c r="B79" s="18" t="str">
        <x:v>B022</x:v>
      </x:c>
      <x:c r="C79" s="18" t="str">
        <x:v>多元多相Gibbs最小化</x:v>
      </x:c>
      <x:c r="D79" s="40" t="str">
        <x:v>已实现</x:v>
      </x:c>
      <x:c r="E79" s="18" t="str">
        <x:v>P1-W12</x:v>
      </x:c>
      <x:c r="F79" s="18" t="str">
        <x:v>B022</x:v>
      </x:c>
      <x:c r="G79" s="18" t="str">
        <x:v>是</x:v>
      </x:c>
      <x:c r="H79" s="18" t="str">
        <x:v>热力学与相平衡</x:v>
      </x:c>
      <x:c r="I79" s="18" t="str">
        <x:v>调用方显式提供候选相G模型或批准公共参数集</x:v>
      </x:c>
      <x:c r="J79" s="18" t="str">
        <x:v>否</x:v>
      </x:c>
      <x:c r="K79" s="18" t="str">
        <x:v>否</x:v>
      </x:c>
      <x:c r="L79" s="18" t="str">
        <x:v>metallurgy.catalog.b022.multiphase_gibbs_minimization.v1</x:v>
      </x:c>
      <x:c r="M79" s="18" t="str">
        <x:v>same</x:v>
      </x:c>
    </x:row>
    <x:row r="80" ht="42" hidden="0" customHeight="1">
      <x:c r="A80" s="18" t="n">
        <x:v>79</x:v>
      </x:c>
      <x:c r="B80" s="18" t="str">
        <x:v>B023</x:v>
      </x:c>
      <x:c r="C80" s="18" t="str">
        <x:v>CALPHAD平衡计算封装</x:v>
      </x:c>
      <x:c r="D80" s="40" t="str">
        <x:v>已实现</x:v>
      </x:c>
      <x:c r="E80" s="18" t="str">
        <x:v>P1-W12</x:v>
      </x:c>
      <x:c r="F80" s="18" t="str">
        <x:v>B023</x:v>
      </x:c>
      <x:c r="G80" s="18" t="str">
        <x:v>是</x:v>
      </x:c>
      <x:c r="H80" s="18" t="str">
        <x:v>热力学与相平衡</x:v>
      </x:c>
      <x:c r="I80" s="18" t="str">
        <x:v>批准的开源/授权TDB资产；只读版本化文件</x:v>
      </x:c>
      <x:c r="J80" s="18" t="str">
        <x:v>否</x:v>
      </x:c>
      <x:c r="K80" s="18" t="str">
        <x:v>否</x:v>
      </x:c>
      <x:c r="L80" s="18" t="str">
        <x:v>metallurgy.catalog.b023.calphad_equilibrium_state.v1</x:v>
      </x:c>
      <x:c r="M80" s="18" t="str">
        <x:v>same</x:v>
      </x:c>
    </x:row>
    <x:row r="81" ht="42" hidden="0" customHeight="1">
      <x:c r="A81" s="18" t="n">
        <x:v>80</x:v>
      </x:c>
      <x:c r="B81" s="18" t="str">
        <x:v>B024</x:v>
      </x:c>
      <x:c r="C81" s="18" t="str">
        <x:v>Scheil-Gulliver凝固计算</x:v>
      </x:c>
      <x:c r="D81" s="40" t="str">
        <x:v>已实现</x:v>
      </x:c>
      <x:c r="E81" s="18" t="str">
        <x:v>P1-W12</x:v>
      </x:c>
      <x:c r="F81" s="18" t="str">
        <x:v>B024</x:v>
      </x:c>
      <x:c r="G81" s="18" t="str">
        <x:v>是</x:v>
      </x:c>
      <x:c r="H81" s="18" t="str">
        <x:v>热力学与相平衡</x:v>
      </x:c>
      <x:c r="I81" s="18" t="str">
        <x:v>批准TDB、显式成分/温区/步长</x:v>
      </x:c>
      <x:c r="J81" s="18" t="str">
        <x:v>否</x:v>
      </x:c>
      <x:c r="K81" s="18" t="str">
        <x:v>否</x:v>
      </x:c>
      <x:c r="L81" s="18" t="str">
        <x:v>metallurgy.catalog.b024.scheil_microsegregation.v1</x:v>
      </x:c>
      <x:c r="M81" s="18" t="str">
        <x:v>same</x:v>
      </x:c>
    </x:row>
    <x:row r="82" ht="42" hidden="0" customHeight="1">
      <x:c r="A82" s="18" t="n">
        <x:v>81</x:v>
      </x:c>
      <x:c r="B82" s="18" t="str">
        <x:v>B025</x:v>
      </x:c>
      <x:c r="C82" s="18" t="str">
        <x:v>相图一致性校验</x:v>
      </x:c>
      <x:c r="D82" s="40" t="str">
        <x:v>已实现</x:v>
      </x:c>
      <x:c r="E82" s="18" t="str">
        <x:v>P1-W12</x:v>
      </x:c>
      <x:c r="F82" s="18" t="str">
        <x:v>B025</x:v>
      </x:c>
      <x:c r="G82" s="18" t="str">
        <x:v>是</x:v>
      </x:c>
      <x:c r="H82" s="18" t="str">
        <x:v>热力学与相平衡</x:v>
      </x:c>
      <x:c r="I82" s="18" t="str">
        <x:v>调用方显式提供相图拓扑或计算结果</x:v>
      </x:c>
      <x:c r="J82" s="18" t="str">
        <x:v>否</x:v>
      </x:c>
      <x:c r="K82" s="18" t="str">
        <x:v>否</x:v>
      </x:c>
      <x:c r="L82" s="18" t="str">
        <x:v>metallurgy.catalog.b025.phase_diagram_consistency_validation.v1</x:v>
      </x:c>
      <x:c r="M82" s="18" t="str">
        <x:v>same</x:v>
      </x:c>
    </x:row>
    <x:row r="83" ht="42" hidden="0" customHeight="1">
      <x:c r="A83" s="18" t="n">
        <x:v>82</x:v>
      </x:c>
      <x:c r="B83" s="18" t="str">
        <x:v>C008</x:v>
      </x:c>
      <x:c r="C83" s="18" t="str">
        <x:v>熔渣/液态金属黏度估算</x:v>
      </x:c>
      <x:c r="D83" s="18" t="str">
        <x:v>已实现</x:v>
      </x:c>
      <x:c r="E83" s="18" t="str">
        <x:v>P1-W13</x:v>
      </x:c>
      <x:c r="F83" s="18" t="str">
        <x:v>C008</x:v>
      </x:c>
      <x:c r="G83" s="18" t="str">
        <x:v>是</x:v>
      </x:c>
      <x:c r="H83" s="18" t="str">
        <x:v>动力学与传递</x:v>
      </x:c>
      <x:c r="I83" s="18" t="str">
        <x:v>数据库版本化Urbain/Hirai关联式；调用方显式输入组成/物性</x:v>
      </x:c>
      <x:c r="J83" s="18" t="str">
        <x:v>否</x:v>
      </x:c>
      <x:c r="K83" s="18" t="str">
        <x:v>否</x:v>
      </x:c>
      <x:c r="L83" s="18" t="str">
        <x:v>metallurgy.catalog.c008.melt_viscosity.v1</x:v>
      </x:c>
      <x:c r="M83" s="18" t="str">
        <x:v>same</x:v>
      </x:c>
    </x:row>
    <x:row r="84" ht="42" hidden="0" customHeight="1">
      <x:c r="A84" s="18" t="n">
        <x:v>83</x:v>
      </x:c>
      <x:c r="B84" s="18" t="str">
        <x:v>D018</x:v>
      </x:c>
      <x:c r="C84" s="18" t="str">
        <x:v>BOF静态分段供氧制度优化</x:v>
      </x:c>
      <x:c r="D84" s="18" t="str">
        <x:v>已实现</x:v>
      </x:c>
      <x:c r="E84" s="18" t="str">
        <x:v>P1-W13</x:v>
      </x:c>
      <x:c r="F84" s="18" t="str">
        <x:v>D018</x:v>
      </x:c>
      <x:c r="G84" s="18" t="str">
        <x:v>是</x:v>
      </x:c>
      <x:c r="H84" s="18" t="str">
        <x:v>转炉炼钢</x:v>
      </x:c>
      <x:c r="I84" s="18" t="str">
        <x:v>调用方显式提供总氧量、阶段边界/流量/枪位；静态LP</x:v>
      </x:c>
      <x:c r="J84" s="18" t="str">
        <x:v>否</x:v>
      </x:c>
      <x:c r="K84" s="18" t="str">
        <x:v>否</x:v>
      </x:c>
      <x:c r="L84" s="18" t="str">
        <x:v>metallurgy.catalog.d018.bof_blowing_schedule_optimization.v1</x:v>
      </x:c>
      <x:c r="M84" s="18" t="str">
        <x:v>same</x:v>
      </x:c>
    </x:row>
    <x:row r="85" ht="42" hidden="0" customHeight="1">
      <x:c r="A85" s="18" t="n">
        <x:v>84</x:v>
      </x:c>
      <x:c r="B85" s="18" t="str">
        <x:v>D019</x:v>
      </x:c>
      <x:c r="C85" s="18" t="str">
        <x:v>多合金最小成本补加优化</x:v>
      </x:c>
      <x:c r="D85" s="18" t="str">
        <x:v>已实现</x:v>
      </x:c>
      <x:c r="E85" s="18" t="str">
        <x:v>P1-W13</x:v>
      </x:c>
      <x:c r="F85" s="18" t="str">
        <x:v>D019</x:v>
      </x:c>
      <x:c r="G85" s="18" t="str">
        <x:v>是</x:v>
      </x:c>
      <x:c r="H85" s="18" t="str">
        <x:v>转炉炼钢</x:v>
      </x:c>
      <x:c r="I85" s="18" t="str">
        <x:v>调用方显式提供钢液/目标/合金/成本/收得率；LP/MILP</x:v>
      </x:c>
      <x:c r="J85" s="18" t="str">
        <x:v>否</x:v>
      </x:c>
      <x:c r="K85" s="18" t="str">
        <x:v>否</x:v>
      </x:c>
      <x:c r="L85" s="18" t="str">
        <x:v>metallurgy.catalog.d019.alloy_addition_optimization.v1</x:v>
      </x:c>
      <x:c r="M85" s="18" t="str">
        <x:v>same</x:v>
      </x:c>
    </x:row>
    <x:row r="86" ht="42" hidden="0" customHeight="1">
      <x:c r="A86" s="18" t="n">
        <x:v>85</x:v>
      </x:c>
      <x:c r="B86" s="18" t="str">
        <x:v>D020</x:v>
      </x:c>
      <x:c r="C86" s="18" t="str">
        <x:v>冷却剂/废钢静态加入优化</x:v>
      </x:c>
      <x:c r="D86" s="18" t="str">
        <x:v>已实现</x:v>
      </x:c>
      <x:c r="E86" s="18" t="str">
        <x:v>P1-W13</x:v>
      </x:c>
      <x:c r="F86" s="18" t="str">
        <x:v>D020</x:v>
      </x:c>
      <x:c r="G86" s="18" t="str">
        <x:v>是</x:v>
      </x:c>
      <x:c r="H86" s="18" t="str">
        <x:v>转炉炼钢</x:v>
      </x:c>
      <x:c r="I86" s="18" t="str">
        <x:v>调用方显式提供热状态/材料冷却能力/成本；LP/MILP</x:v>
      </x:c>
      <x:c r="J86" s="18" t="str">
        <x:v>否</x:v>
      </x:c>
      <x:c r="K86" s="18" t="str">
        <x:v>否</x:v>
      </x:c>
      <x:c r="L86" s="18" t="str">
        <x:v>metallurgy.catalog.d020.coolant_scrap_optimization.v1</x:v>
      </x:c>
      <x:c r="M86" s="18" t="str">
        <x:v>same</x:v>
      </x:c>
    </x:row>
    <x:row r="87" ht="42" hidden="0" customHeight="1">
      <x:c r="A87" s="18" t="n">
        <x:v>86</x:v>
      </x:c>
      <x:c r="B87" s="18" t="str">
        <x:v>E106</x:v>
      </x:c>
      <x:c r="C87" s="18" t="str">
        <x:v>Rist操作线</x:v>
      </x:c>
      <x:c r="D87" s="18" t="str">
        <x:v>已实现</x:v>
      </x:c>
      <x:c r="E87" s="18" t="str">
        <x:v>P1-W14</x:v>
      </x:c>
      <x:c r="F87" s="18" t="str">
        <x:v>E106</x:v>
      </x:c>
      <x:c r="G87" s="18" t="str">
        <x:v>是</x:v>
      </x:c>
      <x:c r="H87" s="18" t="str">
        <x:v>高炉低碳</x:v>
      </x:c>
      <x:c r="I87" s="18" t="str">
        <x:v>显式炉料、顶煤气、燃料比和还原度</x:v>
      </x:c>
      <x:c r="J87" s="18" t="str">
        <x:v>否</x:v>
      </x:c>
      <x:c r="K87" s="18" t="str">
        <x:v>否</x:v>
      </x:c>
      <x:c r="L87" s="18" t="str">
        <x:v>metallurgy.catalog.e006.complete_rist_operating_line.v1</x:v>
      </x:c>
      <x:c r="M87" s="18" t="str">
        <x:v>catalog_equivalent_different_runtime_code</x:v>
      </x:c>
    </x:row>
    <x:row r="88" ht="42" hidden="0" customHeight="1">
      <x:c r="A88" s="18" t="n">
        <x:v>87</x:v>
      </x:c>
      <x:c r="B88" s="18" t="str">
        <x:v>E109</x:v>
      </x:c>
      <x:c r="C88" s="18" t="str">
        <x:v>喷煤等效替代</x:v>
      </x:c>
      <x:c r="D88" s="18" t="str">
        <x:v>已实现</x:v>
      </x:c>
      <x:c r="E88" s="18" t="str">
        <x:v>P1-W14</x:v>
      </x:c>
      <x:c r="F88" s="18" t="str">
        <x:v>E109</x:v>
      </x:c>
      <x:c r="G88" s="18" t="str">
        <x:v>是</x:v>
      </x:c>
      <x:c r="H88" s="18" t="str">
        <x:v>高炉低碳</x:v>
      </x:c>
      <x:c r="I88" s="18" t="str">
        <x:v>显式煤/焦工业分析、热值和工况边界</x:v>
      </x:c>
      <x:c r="J88" s="18" t="str">
        <x:v>否</x:v>
      </x:c>
      <x:c r="K88" s="18" t="str">
        <x:v>否</x:v>
      </x:c>
      <x:c r="L88" s="18" t="str">
        <x:v>metallurgy.catalog.e009.complete_pci_replacement.v1</x:v>
      </x:c>
      <x:c r="M88" s="18" t="str">
        <x:v>catalog_equivalent_different_runtime_code</x:v>
      </x:c>
    </x:row>
    <x:row r="89" ht="42" hidden="0" customHeight="1">
      <x:c r="A89" s="18" t="n">
        <x:v>88</x:v>
      </x:c>
      <x:c r="B89" s="18" t="str">
        <x:v>E010</x:v>
      </x:c>
      <x:c r="C89" s="18" t="str">
        <x:v>炉顶煤气组成</x:v>
      </x:c>
      <x:c r="D89" s="18" t="str">
        <x:v>已实现</x:v>
      </x:c>
      <x:c r="E89" s="18" t="str">
        <x:v>P1-W14</x:v>
      </x:c>
      <x:c r="F89" s="18" t="str">
        <x:v>E010</x:v>
      </x:c>
      <x:c r="G89" s="18" t="str">
        <x:v>是</x:v>
      </x:c>
      <x:c r="H89" s="18" t="str">
        <x:v>高炉低碳</x:v>
      </x:c>
      <x:c r="I89" s="18" t="str">
        <x:v>显式风量、燃料、还原度和湿分</x:v>
      </x:c>
      <x:c r="J89" s="18" t="str">
        <x:v>否</x:v>
      </x:c>
      <x:c r="K89" s="18" t="str">
        <x:v>否</x:v>
      </x:c>
      <x:c r="L89" s="18" t="str">
        <x:v>metallurgy.catalog.e010.bf_top_gas_composition.v1</x:v>
      </x:c>
      <x:c r="M89" s="18" t="str">
        <x:v>same</x:v>
      </x:c>
    </x:row>
    <x:row r="90" ht="42" hidden="0" customHeight="1">
      <x:c r="A90" s="18" t="n">
        <x:v>89</x:v>
      </x:c>
      <x:c r="B90" s="18" t="str">
        <x:v>E013</x:v>
      </x:c>
      <x:c r="C90" s="18" t="str">
        <x:v>风口回旋区绝热火焰温度</x:v>
      </x:c>
      <x:c r="D90" s="18" t="str">
        <x:v>已实现</x:v>
      </x:c>
      <x:c r="E90" s="18" t="str">
        <x:v>P1-W14</x:v>
      </x:c>
      <x:c r="F90" s="18" t="str">
        <x:v>E013</x:v>
      </x:c>
      <x:c r="G90" s="18" t="str">
        <x:v>是</x:v>
      </x:c>
      <x:c r="H90" s="18" t="str">
        <x:v>高炉低碳</x:v>
      </x:c>
      <x:c r="I90" s="18" t="str">
        <x:v>显式风温、富氧、湿分、喷吹燃料组成</x:v>
      </x:c>
      <x:c r="J90" s="18" t="str">
        <x:v>否</x:v>
      </x:c>
      <x:c r="K90" s="18" t="str">
        <x:v>否</x:v>
      </x:c>
      <x:c r="L90" s="18" t="str">
        <x:v>metallurgy.catalog.e013.raceway_adiabatic_flame_temperature.v1</x:v>
      </x:c>
      <x:c r="M90" s="18" t="str">
        <x:v>same</x:v>
      </x:c>
    </x:row>
    <x:row r="91" ht="42" hidden="0" customHeight="1">
      <x:c r="A91" s="18" t="n">
        <x:v>90</x:v>
      </x:c>
      <x:c r="B91" s="18" t="str">
        <x:v>E015</x:v>
      </x:c>
      <x:c r="C91" s="18" t="str">
        <x:v>透气性指数</x:v>
      </x:c>
      <x:c r="D91" s="18" t="str">
        <x:v>后续保留</x:v>
      </x:c>
      <x:c r="E91" s="18" t="str">
        <x:v>待分波实施</x:v>
      </x:c>
      <x:c r="F91" s="18" t="str">
        <x:v>E015</x:v>
      </x:c>
      <x:c r="G91" s="18" t="str">
        <x:v>是</x:v>
      </x:c>
      <x:c r="H91" s="18" t="str">
        <x:v>高炉低碳</x:v>
      </x:c>
      <x:c r="I91" s="18" t="str">
        <x:v>调用方显式提供压差、风量、炉顶压力和料柱高度</x:v>
      </x:c>
      <x:c r="J91" s="18" t="str">
        <x:v>否</x:v>
      </x:c>
      <x:c r="K91" s="18" t="str">
        <x:v>否</x:v>
      </x:c>
      <x:c r="L91" s="18" t="str">
        <x:v>planned.e015.v1</x:v>
      </x:c>
      <x:c r="M91" s="18" t="str">
        <x:v>不读取连续时序；不提供炉况预警</x:v>
      </x:c>
    </x:row>
    <x:row r="92" ht="42" hidden="0" customHeight="1">
      <x:c r="A92" s="18" t="n">
        <x:v>91</x:v>
      </x:c>
      <x:c r="B92" s="18" t="str">
        <x:v>E020</x:v>
      </x:c>
      <x:c r="C92" s="18" t="str">
        <x:v>高炉碳足迹</x:v>
      </x:c>
      <x:c r="D92" s="18" t="str">
        <x:v>后续保留</x:v>
      </x:c>
      <x:c r="E92" s="18" t="str">
        <x:v>待分波实施</x:v>
      </x:c>
      <x:c r="F92" s="18" t="str">
        <x:v>E020</x:v>
      </x:c>
      <x:c r="G92" s="18" t="str">
        <x:v>是</x:v>
      </x:c>
      <x:c r="H92" s="18" t="str">
        <x:v>高炉低碳</x:v>
      </x:c>
      <x:c r="I92" s="18" t="str">
        <x:v>调用方显式提供活动数据；排放因子使用公开版本化资产</x:v>
      </x:c>
      <x:c r="J92" s="18" t="str">
        <x:v>否</x:v>
      </x:c>
      <x:c r="K92" s="18" t="str">
        <x:v>否</x:v>
      </x:c>
      <x:c r="L92" s="18" t="str">
        <x:v>planned.e020.v1</x:v>
      </x:c>
      <x:c r="M92" s="18" t="str">
        <x:v>不读取企业生产数据库</x:v>
      </x:c>
    </x:row>
    <x:row r="93" ht="42" hidden="0" customHeight="1">
      <x:c r="A93" s="18" t="n">
        <x:v>92</x:v>
      </x:c>
      <x:c r="B93" s="18" t="str">
        <x:v>F008</x:v>
      </x:c>
      <x:c r="C93" s="18" t="str">
        <x:v>二冷总水量计算</x:v>
      </x:c>
      <x:c r="D93" s="18" t="str">
        <x:v>后续保留</x:v>
      </x:c>
      <x:c r="E93" s="18" t="str">
        <x:v>待分波实施</x:v>
      </x:c>
      <x:c r="F93" s="18" t="str">
        <x:v>F008</x:v>
      </x:c>
      <x:c r="G93" s="18" t="str">
        <x:v>是</x:v>
      </x:c>
      <x:c r="H93" s="18" t="str">
        <x:v>连铸质量与二冷</x:v>
      </x:c>
      <x:c r="I93" s="18" t="str">
        <x:v>显式断面、拉速、目标热负荷/比水量参数</x:v>
      </x:c>
      <x:c r="J93" s="18" t="str">
        <x:v>否</x:v>
      </x:c>
      <x:c r="K93" s="18" t="str">
        <x:v>否</x:v>
      </x:c>
      <x:c r="L93" s="18" t="str">
        <x:v>planned.f008.v1</x:v>
      </x:c>
      <x:c r="M93" s="18" t="str">
        <x:v>不从历史浇次拟合参数</x:v>
      </x:c>
    </x:row>
    <x:row r="94" ht="42" hidden="0" customHeight="1">
      <x:c r="A94" s="18" t="n">
        <x:v>93</x:v>
      </x:c>
      <x:c r="B94" s="18" t="str">
        <x:v>F009</x:v>
      </x:c>
      <x:c r="C94" s="18" t="str">
        <x:v>二冷分区水量分配</x:v>
      </x:c>
      <x:c r="D94" s="18" t="str">
        <x:v>后续保留</x:v>
      </x:c>
      <x:c r="E94" s="18" t="str">
        <x:v>待分波实施</x:v>
      </x:c>
      <x:c r="F94" s="18" t="str">
        <x:v>F009</x:v>
      </x:c>
      <x:c r="G94" s="18" t="str">
        <x:v>是</x:v>
      </x:c>
      <x:c r="H94" s="18" t="str">
        <x:v>连铸质量与二冷</x:v>
      </x:c>
      <x:c r="I94" s="18" t="str">
        <x:v>显式总水量、分区几何、喷嘴能力和温度约束</x:v>
      </x:c>
      <x:c r="J94" s="18" t="str">
        <x:v>否</x:v>
      </x:c>
      <x:c r="K94" s="18" t="str">
        <x:v>否</x:v>
      </x:c>
      <x:c r="L94" s="18" t="str">
        <x:v>planned.f009.v1</x:v>
      </x:c>
      <x:c r="M94" s="18" t="str">
        <x:v>作为离线方案，不连接阀门或PLC</x:v>
      </x:c>
    </x:row>
    <x:row r="95" ht="42" hidden="0" customHeight="1">
      <x:c r="A95" s="18" t="n">
        <x:v>94</x:v>
      </x:c>
      <x:c r="B95" s="18" t="str">
        <x:v>F011</x:v>
      </x:c>
      <x:c r="C95" s="18" t="str">
        <x:v>拉速优化</x:v>
      </x:c>
      <x:c r="D95" s="18" t="str">
        <x:v>后续保留</x:v>
      </x:c>
      <x:c r="E95" s="18" t="str">
        <x:v>待分波实施</x:v>
      </x:c>
      <x:c r="F95" s="18" t="str">
        <x:v>F011</x:v>
      </x:c>
      <x:c r="G95" s="18" t="str">
        <x:v>是</x:v>
      </x:c>
      <x:c r="H95" s="18" t="str">
        <x:v>连铸质量与二冷</x:v>
      </x:c>
      <x:c r="I95" s="18" t="str">
        <x:v>显式设备长度、温度/凝固约束与候选拉速区间</x:v>
      </x:c>
      <x:c r="J95" s="18" t="str">
        <x:v>否</x:v>
      </x:c>
      <x:c r="K95" s="18" t="str">
        <x:v>否</x:v>
      </x:c>
      <x:c r="L95" s="18" t="str">
        <x:v>planned.f011.v1</x:v>
      </x:c>
      <x:c r="M95" s="18" t="str">
        <x:v>不使用历史质量标签，不直接下发拉速</x:v>
      </x:c>
    </x:row>
    <x:row r="96" ht="42" hidden="0" customHeight="1">
      <x:c r="A96" s="18" t="n">
        <x:v>95</x:v>
      </x:c>
      <x:c r="B96" s="18" t="str">
        <x:v>F014</x:v>
      </x:c>
      <x:c r="C96" s="18" t="str">
        <x:v>铸坯热应力/应变</x:v>
      </x:c>
      <x:c r="D96" s="18" t="str">
        <x:v>后续保留</x:v>
      </x:c>
      <x:c r="E96" s="18" t="str">
        <x:v>待分波实施</x:v>
      </x:c>
      <x:c r="F96" s="18" t="str">
        <x:v>F014</x:v>
      </x:c>
      <x:c r="G96" s="18" t="str">
        <x:v>是</x:v>
      </x:c>
      <x:c r="H96" s="18" t="str">
        <x:v>连铸质量与二冷</x:v>
      </x:c>
      <x:c r="I96" s="18" t="str">
        <x:v>显式温度场、材料高温力学参数和边界条件</x:v>
      </x:c>
      <x:c r="J96" s="18" t="str">
        <x:v>否</x:v>
      </x:c>
      <x:c r="K96" s="18" t="str">
        <x:v>否</x:v>
      </x:c>
      <x:c r="L96" s="18" t="str">
        <x:v>planned.f014.v1</x:v>
      </x:c>
      <x:c r="M96" s="18" t="str">
        <x:v>不需要现场测温；仅分析显式温度场</x:v>
      </x:c>
    </x:row>
    <x:row r="97" ht="42" hidden="0" customHeight="1">
      <x:c r="A97" s="18" t="n">
        <x:v>96</x:v>
      </x:c>
      <x:c r="B97" s="18" t="str">
        <x:v>F018</x:v>
      </x:c>
      <x:c r="C97" s="18" t="str">
        <x:v>夹杂物上浮时间</x:v>
      </x:c>
      <x:c r="D97" s="18" t="str">
        <x:v>后续保留</x:v>
      </x:c>
      <x:c r="E97" s="18" t="str">
        <x:v>待分波实施</x:v>
      </x:c>
      <x:c r="F97" s="18" t="str">
        <x:v>F018</x:v>
      </x:c>
      <x:c r="G97" s="18" t="str">
        <x:v>是</x:v>
      </x:c>
      <x:c r="H97" s="18" t="str">
        <x:v>连铸质量与二冷</x:v>
      </x:c>
      <x:c r="I97" s="18" t="str">
        <x:v>显式夹杂尺寸/密度、钢液物性和流动尺度</x:v>
      </x:c>
      <x:c r="J97" s="18" t="str">
        <x:v>否</x:v>
      </x:c>
      <x:c r="K97" s="18" t="str">
        <x:v>否</x:v>
      </x:c>
      <x:c r="L97" s="18" t="str">
        <x:v>planned.f018.v1</x:v>
      </x:c>
      <x:c r="M97" s="18" t="str">
        <x:v>不使用质量检测标签</x:v>
      </x:c>
    </x:row>
    <x:row r="98" ht="42" hidden="0" customHeight="1">
      <x:c r="A98" s="18" t="n">
        <x:v>97</x:v>
      </x:c>
      <x:c r="B98" s="18" t="str">
        <x:v>G003</x:v>
      </x:c>
      <x:c r="C98" s="18" t="str">
        <x:v>一维传热PDE求解</x:v>
      </x:c>
      <x:c r="D98" s="18" t="str">
        <x:v>后续保留</x:v>
      </x:c>
      <x:c r="E98" s="18" t="str">
        <x:v>待分波实施</x:v>
      </x:c>
      <x:c r="F98" s="18" t="str">
        <x:v>G003</x:v>
      </x:c>
      <x:c r="G98" s="18" t="str">
        <x:v>是</x:v>
      </x:c>
      <x:c r="H98" s="18" t="str">
        <x:v>仿真/优化/智能体支撑</x:v>
      </x:c>
      <x:c r="I98" s="18" t="str">
        <x:v>显式几何、物性、热源和初边值</x:v>
      </x:c>
      <x:c r="J98" s="18" t="str">
        <x:v>否</x:v>
      </x:c>
      <x:c r="K98" s="18" t="str">
        <x:v>否</x:v>
      </x:c>
      <x:c r="L98" s="18" t="str">
        <x:v>planned.g003.v1</x:v>
      </x:c>
      <x:c r="M98" s="18" t="str">
        <x:v>纯数值PDE，不使用现场数据</x:v>
      </x:c>
    </x:row>
    <x:row r="99" ht="42" hidden="0" customHeight="1">
      <x:c r="A99" s="18" t="n">
        <x:v>98</x:v>
      </x:c>
      <x:c r="B99" s="18" t="str">
        <x:v>G004</x:v>
      </x:c>
      <x:c r="C99" s="18" t="str">
        <x:v>反应ODE求解</x:v>
      </x:c>
      <x:c r="D99" s="18" t="str">
        <x:v>后续保留</x:v>
      </x:c>
      <x:c r="E99" s="18" t="str">
        <x:v>待分波实施</x:v>
      </x:c>
      <x:c r="F99" s="18" t="str">
        <x:v>G004</x:v>
      </x:c>
      <x:c r="G99" s="18" t="str">
        <x:v>是</x:v>
      </x:c>
      <x:c r="H99" s="18" t="str">
        <x:v>仿真/优化/智能体支撑</x:v>
      </x:c>
      <x:c r="I99" s="18" t="str">
        <x:v>显式反应网络、速率表达式和初值</x:v>
      </x:c>
      <x:c r="J99" s="18" t="str">
        <x:v>否</x:v>
      </x:c>
      <x:c r="K99" s="18" t="str">
        <x:v>否</x:v>
      </x:c>
      <x:c r="L99" s="18" t="str">
        <x:v>planned.g004.v1</x:v>
      </x:c>
      <x:c r="M99" s="18" t="str">
        <x:v>纯数值求解，不训练</x:v>
      </x:c>
    </x:row>
    <x:row r="100" ht="42" hidden="0" customHeight="1">
      <x:c r="A100" s="18" t="n">
        <x:v>99</x:v>
      </x:c>
      <x:c r="B100" s="18" t="str">
        <x:v>G005</x:v>
      </x:c>
      <x:c r="C100" s="18" t="str">
        <x:v>CFD参数化案例生成</x:v>
      </x:c>
      <x:c r="D100" s="18" t="str">
        <x:v>后续保留</x:v>
      </x:c>
      <x:c r="E100" s="18" t="str">
        <x:v>待分波实施</x:v>
      </x:c>
      <x:c r="F100" s="18" t="str">
        <x:v>G005</x:v>
      </x:c>
      <x:c r="G100" s="18" t="str">
        <x:v>是</x:v>
      </x:c>
      <x:c r="H100" s="18" t="str">
        <x:v>仿真/优化/智能体支撑</x:v>
      </x:c>
      <x:c r="I100" s="18" t="str">
        <x:v>调用方显式提交几何模板、物性和工况</x:v>
      </x:c>
      <x:c r="J100" s="18" t="str">
        <x:v>否</x:v>
      </x:c>
      <x:c r="K100" s="18" t="str">
        <x:v>否</x:v>
      </x:c>
      <x:c r="L100" s="18" t="str">
        <x:v>planned.g005.v1</x:v>
      </x:c>
      <x:c r="M100" s="18" t="str">
        <x:v>DS042从必需来源中删除</x:v>
      </x:c>
    </x:row>
    <x:row r="101" ht="42" hidden="0" customHeight="1">
      <x:c r="A101" s="18" t="n">
        <x:v>100</x:v>
      </x:c>
      <x:c r="B101" s="18" t="str">
        <x:v>G006</x:v>
      </x:c>
      <x:c r="C101" s="18" t="str">
        <x:v>参数化仿真批处理</x:v>
      </x:c>
      <x:c r="D101" s="18" t="str">
        <x:v>后续保留</x:v>
      </x:c>
      <x:c r="E101" s="18" t="str">
        <x:v>待分波实施</x:v>
      </x:c>
      <x:c r="F101" s="18" t="str">
        <x:v>G006</x:v>
      </x:c>
      <x:c r="G101" s="18" t="str">
        <x:v>是</x:v>
      </x:c>
      <x:c r="H101" s="18" t="str">
        <x:v>仿真/优化/智能体支撑</x:v>
      </x:c>
      <x:c r="I101" s="18" t="str">
        <x:v>显式参数空间、案例模板和资源配额</x:v>
      </x:c>
      <x:c r="J101" s="18" t="str">
        <x:v>否</x:v>
      </x:c>
      <x:c r="K101" s="18" t="str">
        <x:v>否</x:v>
      </x:c>
      <x:c r="L101" s="18" t="str">
        <x:v>planned.g006.v1</x:v>
      </x:c>
      <x:c r="M101" s="18" t="str">
        <x:v>不读取现场数据；只编排批准案例</x:v>
      </x:c>
    </x:row>
    <x:row r="102" ht="42" hidden="0" customHeight="1">
      <x:c r="A102" s="18" t="n">
        <x:v>101</x:v>
      </x:c>
      <x:c r="B102" s="18" t="str">
        <x:v>G008</x:v>
      </x:c>
      <x:c r="C102" s="18" t="str">
        <x:v>插值与查表服务</x:v>
      </x:c>
      <x:c r="D102" s="18" t="str">
        <x:v>后续保留</x:v>
      </x:c>
      <x:c r="E102" s="18" t="str">
        <x:v>待分波实施</x:v>
      </x:c>
      <x:c r="F102" s="18" t="str">
        <x:v>G008</x:v>
      </x:c>
      <x:c r="G102" s="18" t="str">
        <x:v>是</x:v>
      </x:c>
      <x:c r="H102" s="18" t="str">
        <x:v>仿真/优化/智能体支撑</x:v>
      </x:c>
      <x:c r="I102" s="18" t="str">
        <x:v>调用方上传或选择版本化查找表</x:v>
      </x:c>
      <x:c r="J102" s="18" t="str">
        <x:v>否</x:v>
      </x:c>
      <x:c r="K102" s="18" t="str">
        <x:v>否</x:v>
      </x:c>
      <x:c r="L102" s="18" t="str">
        <x:v>planned.g008.v1</x:v>
      </x:c>
      <x:c r="M102" s="18" t="str">
        <x:v>不连接企业实时表</x:v>
      </x:c>
    </x:row>
    <x:row r="103" ht="42" hidden="0" customHeight="1">
      <x:c r="A103" s="18" t="n">
        <x:v>102</x:v>
      </x:c>
      <x:c r="B103" s="18" t="str">
        <x:v>G009</x:v>
      </x:c>
      <x:c r="C103" s="18" t="str">
        <x:v>敏感性分析</x:v>
      </x:c>
      <x:c r="D103" s="18" t="str">
        <x:v>后续保留</x:v>
      </x:c>
      <x:c r="E103" s="18" t="str">
        <x:v>待分波实施</x:v>
      </x:c>
      <x:c r="F103" s="18" t="str">
        <x:v>G009</x:v>
      </x:c>
      <x:c r="G103" s="18" t="str">
        <x:v>是</x:v>
      </x:c>
      <x:c r="H103" s="18" t="str">
        <x:v>仿真/优化/智能体支撑</x:v>
      </x:c>
      <x:c r="I103" s="18" t="str">
        <x:v>显式模型函数、参数范围和固定采样方案</x:v>
      </x:c>
      <x:c r="J103" s="18" t="str">
        <x:v>否</x:v>
      </x:c>
      <x:c r="K103" s="18" t="str">
        <x:v>否</x:v>
      </x:c>
      <x:c r="L103" s="18" t="str">
        <x:v>planned.g009.v1</x:v>
      </x:c>
      <x:c r="M103" s="18" t="str">
        <x:v>离线分析，不使用历史成功率</x:v>
      </x:c>
    </x:row>
    <x:row r="104" ht="42" hidden="0" customHeight="1">
      <x:c r="A104" s="18" t="n">
        <x:v>103</x:v>
      </x:c>
      <x:c r="B104" s="18" t="str">
        <x:v>G010</x:v>
      </x:c>
      <x:c r="C104" s="18" t="str">
        <x:v>Monte Carlo不确定度分析</x:v>
      </x:c>
      <x:c r="D104" s="18" t="str">
        <x:v>后续保留</x:v>
      </x:c>
      <x:c r="E104" s="18" t="str">
        <x:v>待分波实施</x:v>
      </x:c>
      <x:c r="F104" s="18" t="str">
        <x:v>G010</x:v>
      </x:c>
      <x:c r="G104" s="18" t="str">
        <x:v>是</x:v>
      </x:c>
      <x:c r="H104" s="18" t="str">
        <x:v>仿真/优化/智能体支撑</x:v>
      </x:c>
      <x:c r="I104" s="18" t="str">
        <x:v>显式概率分布、相关性、样本数和可调用模型</x:v>
      </x:c>
      <x:c r="J104" s="18" t="str">
        <x:v>否</x:v>
      </x:c>
      <x:c r="K104" s="18" t="str">
        <x:v>否</x:v>
      </x:c>
      <x:c r="L104" s="18" t="str">
        <x:v>planned.g010.v1</x:v>
      </x:c>
      <x:c r="M104" s="18" t="str">
        <x:v>离线不确定度分析</x:v>
      </x:c>
    </x:row>
    <x:row r="105" ht="42" hidden="0" customHeight="1">
      <x:c r="A105" s="18" t="n">
        <x:v>104</x:v>
      </x:c>
      <x:c r="B105" s="18" t="str">
        <x:v>G011</x:v>
      </x:c>
      <x:c r="C105" s="18" t="str">
        <x:v>贝叶斯优化</x:v>
      </x:c>
      <x:c r="D105" s="18" t="str">
        <x:v>后续保留</x:v>
      </x:c>
      <x:c r="E105" s="18" t="str">
        <x:v>待分波实施</x:v>
      </x:c>
      <x:c r="F105" s="18" t="str">
        <x:v>G011</x:v>
      </x:c>
      <x:c r="G105" s="18" t="str">
        <x:v>是</x:v>
      </x:c>
      <x:c r="H105" s="18" t="str">
        <x:v>仿真/优化/智能体支撑</x:v>
      </x:c>
      <x:c r="I105" s="18" t="str">
        <x:v>显式变量域、目标函数、约束和评估预算</x:v>
      </x:c>
      <x:c r="J105" s="18" t="str">
        <x:v>否</x:v>
      </x:c>
      <x:c r="K105" s="18" t="str">
        <x:v>否</x:v>
      </x:c>
      <x:c r="L105" s="18" t="str">
        <x:v>planned.g011.v1</x:v>
      </x:c>
      <x:c r="M105" s="18" t="str">
        <x:v>‘在线’改为离线序贯评估，不连接生产过程</x:v>
      </x:c>
    </x:row>
    <x:row r="106" ht="42" hidden="0" customHeight="1">
      <x:c r="A106" s="18" t="n">
        <x:v>105</x:v>
      </x:c>
      <x:c r="B106" s="18" t="str">
        <x:v>G012</x:v>
      </x:c>
      <x:c r="C106" s="18" t="str">
        <x:v>多目标优化</x:v>
      </x:c>
      <x:c r="D106" s="18" t="str">
        <x:v>后续保留</x:v>
      </x:c>
      <x:c r="E106" s="18" t="str">
        <x:v>待分波实施</x:v>
      </x:c>
      <x:c r="F106" s="18" t="str">
        <x:v>G012</x:v>
      </x:c>
      <x:c r="G106" s="18" t="str">
        <x:v>是</x:v>
      </x:c>
      <x:c r="H106" s="18" t="str">
        <x:v>仿真/优化/智能体支撑</x:v>
      </x:c>
      <x:c r="I106" s="18" t="str">
        <x:v>显式目标、约束、变量范围和偏好</x:v>
      </x:c>
      <x:c r="J106" s="18" t="str">
        <x:v>否</x:v>
      </x:c>
      <x:c r="K106" s="18" t="str">
        <x:v>否</x:v>
      </x:c>
      <x:c r="L106" s="18" t="str">
        <x:v>planned.g012.v1</x:v>
      </x:c>
      <x:c r="M106" s="18" t="str">
        <x:v>不读取企业历史数据</x:v>
      </x:c>
    </x:row>
    <x:row r="107" ht="42" hidden="0" customHeight="1">
      <x:c r="A107" s="18" t="n">
        <x:v>106</x:v>
      </x:c>
      <x:c r="B107" s="18" t="str">
        <x:v>G013</x:v>
      </x:c>
      <x:c r="C107" s="18" t="str">
        <x:v>约束规则校验器</x:v>
      </x:c>
      <x:c r="D107" s="18" t="str">
        <x:v>后续保留</x:v>
      </x:c>
      <x:c r="E107" s="18" t="str">
        <x:v>待分波实施</x:v>
      </x:c>
      <x:c r="F107" s="18" t="str">
        <x:v>G013</x:v>
      </x:c>
      <x:c r="G107" s="18" t="str">
        <x:v>是</x:v>
      </x:c>
      <x:c r="H107" s="18" t="str">
        <x:v>仿真/优化/智能体支撑</x:v>
      </x:c>
      <x:c r="I107" s="18" t="str">
        <x:v>显式模型输入输出与版本化JSON规则</x:v>
      </x:c>
      <x:c r="J107" s="18" t="str">
        <x:v>否</x:v>
      </x:c>
      <x:c r="K107" s="18" t="str">
        <x:v>否</x:v>
      </x:c>
      <x:c r="L107" s="18" t="str">
        <x:v>planned.g013.v1</x:v>
      </x:c>
      <x:c r="M107" s="18" t="str">
        <x:v>规则由仓库版本化，不从专家历史自动学习</x:v>
      </x:c>
    </x:row>
    <x:row r="108" ht="42" hidden="0" customHeight="1">
      <x:c r="A108" s="18" t="n">
        <x:v>107</x:v>
      </x:c>
      <x:c r="B108" s="18" t="str">
        <x:v>A011</x:v>
      </x:c>
      <x:c r="C108" s="18" t="str">
        <x:v>反应计量系数求解</x:v>
      </x:c>
      <x:c r="D108" s="18" t="str">
        <x:v>已实现</x:v>
      </x:c>
      <x:c r="E108" s="18" t="str">
        <x:v>P1-W10</x:v>
      </x:c>
      <x:c r="F108" s="18" t="str">
        <x:v>扩展</x:v>
      </x:c>
      <x:c r="G108" s="18" t="str">
        <x:v>否</x:v>
      </x:c>
      <x:c r="H108" s="18" t="str">
        <x:v>通用数据与校验</x:v>
      </x:c>
      <x:c r="I108" s="18" t="str">
        <x:v>公式</x:v>
      </x:c>
      <x:c r="J108" s="18" t="str">
        <x:v>否</x:v>
      </x:c>
      <x:c r="K108" s="18" t="str">
        <x:v>否</x:v>
      </x:c>
      <x:c r="L108" s="18" t="str">
        <x:v>metallurgy.extension.a011.reaction_stoichiometry_solver.v1</x:v>
      </x:c>
      <x:c r="M108" s="18" t="str">
        <x:v>区别A006：A006校验既有反应；A011主动求解未知系数；P1-W10已实现并通过80项准入</x:v>
      </x:c>
    </x:row>
    <x:row r="109" ht="42" hidden="0" customHeight="1">
      <x:c r="A109" s="18" t="n">
        <x:v>108</x:v>
      </x:c>
      <x:c r="B109" s="18" t="str">
        <x:v>B026</x:v>
      </x:c>
      <x:c r="C109" s="18" t="str">
        <x:v>Peng–Robinson状态方程与逸度</x:v>
      </x:c>
      <x:c r="D109" s="18" t="str">
        <x:v>已实现</x:v>
      </x:c>
      <x:c r="E109" s="18" t="str">
        <x:v>P1-W11</x:v>
      </x:c>
      <x:c r="F109" s="18" t="str">
        <x:v>扩展</x:v>
      </x:c>
      <x:c r="G109" s="18" t="str">
        <x:v>否</x:v>
      </x:c>
      <x:c r="H109" s="18" t="str">
        <x:v>热力学与相平衡</x:v>
      </x:c>
      <x:c r="I109" s="18" t="str">
        <x:v>公式+显式物性</x:v>
      </x:c>
      <x:c r="J109" s="18" t="str">
        <x:v>否</x:v>
      </x:c>
      <x:c r="K109" s="18" t="str">
        <x:v>否</x:v>
      </x:c>
      <x:c r="L109" s="18" t="str">
        <x:v>metallurgy.extension.b026.peng_robinson_fugacity.v1</x:v>
      </x:c>
      <x:c r="M109" s="18" t="str">
        <x:v>区别B013理想气体平衡：B026处理非理想纯流体；P1-W11已实现并通过86项准入</x:v>
      </x:c>
    </x:row>
    <x:row r="110" ht="42" hidden="0" customHeight="1">
      <x:c r="A110" s="18" t="n">
        <x:v>109</x:v>
      </x:c>
      <x:c r="B110" s="18" t="str">
        <x:v>B027</x:v>
      </x:c>
      <x:c r="C110" s="18" t="str">
        <x:v>理想气液泡点/露点</x:v>
      </x:c>
      <x:c r="D110" s="18" t="str">
        <x:v>已实现</x:v>
      </x:c>
      <x:c r="E110" s="18" t="str">
        <x:v>P1-W11</x:v>
      </x:c>
      <x:c r="F110" s="18" t="str">
        <x:v>扩展</x:v>
      </x:c>
      <x:c r="G110" s="18" t="str">
        <x:v>否</x:v>
      </x:c>
      <x:c r="H110" s="18" t="str">
        <x:v>热力学与相平衡</x:v>
      </x:c>
      <x:c r="I110" s="18" t="str">
        <x:v>公式+版本化公开系数</x:v>
      </x:c>
      <x:c r="J110" s="18" t="str">
        <x:v>否</x:v>
      </x:c>
      <x:c r="K110" s="18" t="str">
        <x:v>否</x:v>
      </x:c>
      <x:c r="L110" s="18" t="str">
        <x:v>metallurgy.extension.b027.ideal_vle_bubble_dew.v1</x:v>
      </x:c>
      <x:c r="M110" s="18" t="str">
        <x:v>区别B014活度：B027求相变边界事件；P1-W11已实现并通过86项准入</x:v>
      </x:c>
    </x:row>
    <x:row r="111" ht="42" hidden="0" customHeight="1">
      <x:c r="A111" s="18" t="n">
        <x:v>110</x:v>
      </x:c>
      <x:c r="B111" s="18" t="str">
        <x:v>C011</x:v>
      </x:c>
      <x:c r="C111" s="18" t="str">
        <x:v>传递过程无量纲数</x:v>
      </x:c>
      <x:c r="D111" s="18" t="str">
        <x:v>已实现</x:v>
      </x:c>
      <x:c r="E111" s="18" t="str">
        <x:v>P1-W10</x:v>
      </x:c>
      <x:c r="F111" s="18" t="str">
        <x:v>扩展</x:v>
      </x:c>
      <x:c r="G111" s="18" t="str">
        <x:v>否</x:v>
      </x:c>
      <x:c r="H111" s="18" t="str">
        <x:v>动力学与传递</x:v>
      </x:c>
      <x:c r="I111" s="18" t="str">
        <x:v>公式</x:v>
      </x:c>
      <x:c r="J111" s="18" t="str">
        <x:v>否</x:v>
      </x:c>
      <x:c r="K111" s="18" t="str">
        <x:v>否</x:v>
      </x:c>
      <x:c r="L111" s="18" t="str">
        <x:v>metallurgy.extension.c011.transport_dimensionless_numbers.v1</x:v>
      </x:c>
      <x:c r="M111" s="18" t="str">
        <x:v>区别G001：C011计算工况相似准则，不推荐网格；P1-W10已实现并通过80项准入</x:v>
      </x:c>
    </x:row>
    <x:row r="112" ht="42" hidden="0" customHeight="1">
      <x:c r="A112" s="18" t="n">
        <x:v>111</x:v>
      </x:c>
      <x:c r="B112" s="18" t="str">
        <x:v>C012</x:v>
      </x:c>
      <x:c r="C112" s="18" t="str">
        <x:v>外流对流换热/传质系数</x:v>
      </x:c>
      <x:c r="D112" s="18" t="str">
        <x:v>已实现</x:v>
      </x:c>
      <x:c r="E112" s="18" t="str">
        <x:v>P1-W11</x:v>
      </x:c>
      <x:c r="F112" s="18" t="str">
        <x:v>扩展</x:v>
      </x:c>
      <x:c r="G112" s="18" t="str">
        <x:v>否</x:v>
      </x:c>
      <x:c r="H112" s="18" t="str">
        <x:v>动力学与传递</x:v>
      </x:c>
      <x:c r="I112" s="18" t="str">
        <x:v>公式</x:v>
      </x:c>
      <x:c r="J112" s="18" t="str">
        <x:v>否</x:v>
      </x:c>
      <x:c r="K112" s="18" t="str">
        <x:v>否</x:v>
      </x:c>
      <x:c r="L112" s="18" t="str">
        <x:v>metallurgy.extension.c012.sphere_external_convection_transfer.v1</x:v>
      </x:c>
      <x:c r="M112" s="18" t="str">
        <x:v>区别C010填充床；C012处理孤立外流几何；P1-W11已实现并通过86项准入</x:v>
      </x:c>
    </x:row>
    <x:row r="113" ht="42" hidden="0" customHeight="1">
      <x:c r="A113" s="18" t="n">
        <x:v>112</x:v>
      </x:c>
      <x:c r="B113" s="18" t="str">
        <x:v>T003</x:v>
      </x:c>
      <x:c r="C113" s="18" t="str">
        <x:v>集总热容瞬态温度</x:v>
      </x:c>
      <x:c r="D113" s="18" t="str">
        <x:v>已实现</x:v>
      </x:c>
      <x:c r="E113" s="18" t="str">
        <x:v>P1-W10</x:v>
      </x:c>
      <x:c r="F113" s="18" t="str">
        <x:v>扩展</x:v>
      </x:c>
      <x:c r="G113" s="18" t="str">
        <x:v>否</x:v>
      </x:c>
      <x:c r="H113" s="18" t="str">
        <x:v>传热基础</x:v>
      </x:c>
      <x:c r="I113" s="18" t="str">
        <x:v>公式</x:v>
      </x:c>
      <x:c r="J113" s="18" t="str">
        <x:v>否</x:v>
      </x:c>
      <x:c r="K113" s="18" t="str">
        <x:v>否</x:v>
      </x:c>
      <x:c r="L113" s="18" t="str">
        <x:v>metallurgy.extension.t003.lumped_transient_temperature.v1</x:v>
      </x:c>
      <x:c r="M113" s="18" t="str">
        <x:v>区别T001稳态导热和G003空间PDE；P1-W10已实现并通过80项准入</x:v>
      </x:c>
    </x:row>
    <x:row r="114" ht="42" hidden="0" customHeight="1">
      <x:c r="A114" s="18" t="n">
        <x:v>113</x:v>
      </x:c>
      <x:c r="B114" s="18" t="str">
        <x:v>T004</x:v>
      </x:c>
      <x:c r="C114" s="18" t="str">
        <x:v>多层热阻网络</x:v>
      </x:c>
      <x:c r="D114" s="18" t="str">
        <x:v>已实现</x:v>
      </x:c>
      <x:c r="E114" s="18" t="str">
        <x:v>P1-W10</x:v>
      </x:c>
      <x:c r="F114" s="18" t="str">
        <x:v>扩展</x:v>
      </x:c>
      <x:c r="G114" s="18" t="str">
        <x:v>否</x:v>
      </x:c>
      <x:c r="H114" s="18" t="str">
        <x:v>传热基础</x:v>
      </x:c>
      <x:c r="I114" s="18" t="str">
        <x:v>公式</x:v>
      </x:c>
      <x:c r="J114" s="18" t="str">
        <x:v>否</x:v>
      </x:c>
      <x:c r="K114" s="18" t="str">
        <x:v>否</x:v>
      </x:c>
      <x:c r="L114" s="18" t="str">
        <x:v>metallurgy.extension.t004.multilayer_thermal_resistance.v1</x:v>
      </x:c>
      <x:c r="M114" s="18" t="str">
        <x:v>区别T001单层平板；T004给出多层界面温度；P1-W10已实现并通过80项准入</x:v>
      </x:c>
    </x:row>
    <x:row r="115" ht="42" hidden="0" customHeight="1">
      <x:c r="A115" s="18" t="n">
        <x:v>114</x:v>
      </x:c>
      <x:c r="B115" s="18" t="str">
        <x:v>D022</x:v>
      </x:c>
      <x:c r="C115" s="18" t="str">
        <x:v>钢水收得率与铁损分解</x:v>
      </x:c>
      <x:c r="D115" s="18" t="str">
        <x:v>已实现</x:v>
      </x:c>
      <x:c r="E115" s="18" t="str">
        <x:v>P1-W11</x:v>
      </x:c>
      <x:c r="F115" s="18" t="str">
        <x:v>扩展</x:v>
      </x:c>
      <x:c r="G115" s="18" t="str">
        <x:v>否</x:v>
      </x:c>
      <x:c r="H115" s="18" t="str">
        <x:v>转炉炼钢</x:v>
      </x:c>
      <x:c r="I115" s="18" t="str">
        <x:v>公式</x:v>
      </x:c>
      <x:c r="J115" s="18" t="str">
        <x:v>否</x:v>
      </x:c>
      <x:c r="K115" s="18" t="str">
        <x:v>否</x:v>
      </x:c>
      <x:c r="L115" s="18" t="str">
        <x:v>metallurgy.extension.d022.steel_yield_iron_loss.v1</x:v>
      </x:c>
      <x:c r="M115" s="18" t="str">
        <x:v>区别D014：D014由渣TFe算渣铁损；D022分解全流程铁损；P1-W11已实现并通过86项准入</x:v>
      </x:c>
    </x:row>
    <x:row r="116" ht="42" hidden="0" customHeight="1">
      <x:c r="A116" s="18" t="n">
        <x:v>115</x:v>
      </x:c>
      <x:c r="B116" s="18" t="str">
        <x:v>D023</x:v>
      </x:c>
      <x:c r="C116" s="18" t="str">
        <x:v>单种合金补加量</x:v>
      </x:c>
      <x:c r="D116" s="18" t="str">
        <x:v>已实现</x:v>
      </x:c>
      <x:c r="E116" s="18" t="str">
        <x:v>P1-W10</x:v>
      </x:c>
      <x:c r="F116" s="18" t="str">
        <x:v>扩展</x:v>
      </x:c>
      <x:c r="G116" s="18" t="str">
        <x:v>否</x:v>
      </x:c>
      <x:c r="H116" s="18" t="str">
        <x:v>转炉炼钢</x:v>
      </x:c>
      <x:c r="I116" s="18" t="str">
        <x:v>公式</x:v>
      </x:c>
      <x:c r="J116" s="18" t="str">
        <x:v>否</x:v>
      </x:c>
      <x:c r="K116" s="18" t="str">
        <x:v>否</x:v>
      </x:c>
      <x:c r="L116" s="18" t="str">
        <x:v>metallurgy.extension.d023.single_alloy_addition.v1</x:v>
      </x:c>
      <x:c r="M116" s="18" t="str">
        <x:v>区别D019多合金成本优化：D023是单合金闭式原子工具；P1-W10已实现并通过80项准入</x:v>
      </x:c>
    </x:row>
    <x:row r="117" ht="42" hidden="0" customHeight="1">
      <x:c r="A117" s="18" t="n">
        <x:v>116</x:v>
      </x:c>
      <x:c r="B117" s="18" t="str">
        <x:v>E021</x:v>
      </x:c>
      <x:c r="C117" s="18" t="str">
        <x:v>Boudouard反应平衡驱动力</x:v>
      </x:c>
      <x:c r="D117" s="18" t="str">
        <x:v>已实现</x:v>
      </x:c>
      <x:c r="E117" s="18" t="str">
        <x:v>P1-W10</x:v>
      </x:c>
      <x:c r="F117" s="18" t="str">
        <x:v>扩展</x:v>
      </x:c>
      <x:c r="G117" s="18" t="str">
        <x:v>否</x:v>
      </x:c>
      <x:c r="H117" s="18" t="str">
        <x:v>高炉低碳</x:v>
      </x:c>
      <x:c r="I117" s="18" t="str">
        <x:v>公式+既有热力学资产</x:v>
      </x:c>
      <x:c r="J117" s="18" t="str">
        <x:v>否</x:v>
      </x:c>
      <x:c r="K117" s="18" t="str">
        <x:v>否</x:v>
      </x:c>
      <x:c r="L117" s="18" t="str">
        <x:v>metallurgy.extension.e021.boudouard_driving_force.v1</x:v>
      </x:c>
      <x:c r="M117" s="18" t="str">
        <x:v>区别E011气体利用率：E021判断碳气化平衡方向；P1-W10已实现并通过80项准入</x:v>
      </x:c>
    </x:row>
    <x:row r="118" ht="42" hidden="0" customHeight="1">
      <x:c r="A118" s="18" t="n">
        <x:v>117</x:v>
      </x:c>
      <x:c r="B118" s="18" t="str">
        <x:v>E022</x:v>
      </x:c>
      <x:c r="C118" s="18" t="str">
        <x:v>铁氧化物逐级还原平衡</x:v>
      </x:c>
      <x:c r="D118" s="18" t="str">
        <x:v>新增替换</x:v>
      </x:c>
      <x:c r="E118" s="18" t="str">
        <x:v>待分波实施</x:v>
      </x:c>
      <x:c r="F118" s="18" t="str">
        <x:v>扩展</x:v>
      </x:c>
      <x:c r="G118" s="18" t="str">
        <x:v>否</x:v>
      </x:c>
      <x:c r="H118" s="18" t="str">
        <x:v>高炉低碳</x:v>
      </x:c>
      <x:c r="I118" s="18" t="str">
        <x:v>公式+既有热力学资产</x:v>
      </x:c>
      <x:c r="J118" s="18" t="str">
        <x:v>否</x:v>
      </x:c>
      <x:c r="K118" s="18" t="str">
        <x:v>否</x:v>
      </x:c>
      <x:c r="L118" s="18" t="str">
        <x:v>metallurgy.extension.e022.v1</x:v>
      </x:c>
      <x:c r="M118" s="18" t="str">
        <x:v>区别E002总铁平衡：E022给出各级热力学边界</x:v>
      </x:c>
    </x:row>
    <x:row r="119" ht="42" hidden="0" customHeight="1">
      <x:c r="A119" s="18" t="n">
        <x:v>118</x:v>
      </x:c>
      <x:c r="B119" s="18" t="str">
        <x:v>H001</x:v>
      </x:c>
      <x:c r="C119" s="18" t="str">
        <x:v>钢液脱氧平衡</x:v>
      </x:c>
      <x:c r="D119" s="18" t="str">
        <x:v>新增替换</x:v>
      </x:c>
      <x:c r="E119" s="18" t="str">
        <x:v>待分波实施</x:v>
      </x:c>
      <x:c r="F119" s="18" t="str">
        <x:v>扩展</x:v>
      </x:c>
      <x:c r="G119" s="18" t="str">
        <x:v>否</x:v>
      </x:c>
      <x:c r="H119" s="18" t="str">
        <x:v>炉外精炼与洁净钢</x:v>
      </x:c>
      <x:c r="I119" s="18" t="str">
        <x:v>公式+显式参数</x:v>
      </x:c>
      <x:c r="J119" s="18" t="str">
        <x:v>否</x:v>
      </x:c>
      <x:c r="K119" s="18" t="str">
        <x:v>否</x:v>
      </x:c>
      <x:c r="L119" s="18" t="str">
        <x:v>metallurgy.extension.h001.v1</x:v>
      </x:c>
      <x:c r="M119" s="18" t="str">
        <x:v>新增炉外精炼能力；区别A007通用氧当量</x:v>
      </x:c>
    </x:row>
    <x:row r="120" ht="42" hidden="0" customHeight="1">
      <x:c r="A120" s="18" t="n">
        <x:v>119</x:v>
      </x:c>
      <x:c r="B120" s="18" t="str">
        <x:v>H002</x:v>
      </x:c>
      <x:c r="C120" s="18" t="str">
        <x:v>钢包脱硫平衡与脱除量</x:v>
      </x:c>
      <x:c r="D120" s="18" t="str">
        <x:v>已实现</x:v>
      </x:c>
      <x:c r="E120" s="18" t="str">
        <x:v>P1-W11</x:v>
      </x:c>
      <x:c r="F120" s="18" t="str">
        <x:v>扩展</x:v>
      </x:c>
      <x:c r="G120" s="18" t="str">
        <x:v>否</x:v>
      </x:c>
      <x:c r="H120" s="18" t="str">
        <x:v>炉外精炼与洁净钢</x:v>
      </x:c>
      <x:c r="I120" s="18" t="str">
        <x:v>公式+显式/公开参数</x:v>
      </x:c>
      <x:c r="J120" s="18" t="str">
        <x:v>否</x:v>
      </x:c>
      <x:c r="K120" s="18" t="str">
        <x:v>否</x:v>
      </x:c>
      <x:c r="L120" s="18" t="str">
        <x:v>metallurgy.extension.h002.ladle_desulfurization_equilibrium.v1</x:v>
      </x:c>
      <x:c r="M120" s="18" t="str">
        <x:v>区别D011转炉硫分配：H002面向低氧钢包精炼；P1-W11已实现并通过86项准入</x:v>
      </x:c>
    </x:row>
    <x:row r="121" ht="42" hidden="0" customHeight="1">
      <x:c r="A121" s="19" t="n">
        <x:v>120</x:v>
      </x:c>
      <x:c r="B121" s="19" t="str">
        <x:v>H003</x:v>
      </x:c>
      <x:c r="C121" s="19" t="str">
        <x:v>氩气搅拌混合时间</x:v>
      </x:c>
      <x:c r="D121" s="19" t="str">
        <x:v>已实现</x:v>
      </x:c>
      <x:c r="E121" s="19" t="str">
        <x:v>P1-W11</x:v>
      </x:c>
      <x:c r="F121" s="19" t="str">
        <x:v>扩展</x:v>
      </x:c>
      <x:c r="G121" s="19" t="str">
        <x:v>否</x:v>
      </x:c>
      <x:c r="H121" s="19" t="str">
        <x:v>炉外精炼与洁净钢</x:v>
      </x:c>
      <x:c r="I121" s="19" t="str">
        <x:v>公开关联式+显式几何</x:v>
      </x:c>
      <x:c r="J121" s="19" t="str">
        <x:v>否</x:v>
      </x:c>
      <x:c r="K121" s="19" t="str">
        <x:v>否</x:v>
      </x:c>
      <x:c r="L121" s="19" t="str">
        <x:v>metallurgy.extension.h003.ladle_argon_mixing_time.v1</x:v>
      </x:c>
      <x:c r="M121" s="19" t="str">
        <x:v>新增精炼传递能力；不依赖搅拌传感器或历史炉次；P1-W11已实现并通过86项准入</x:v>
      </x:c>
    </x:row>
  </x:sheetData>
  <x:conditionalFormatting sqref="D2:D121">
    <x:cfRule type="containsText" dxfId="3" priority="1" operator="containsText" text="已实现"/>
    <x:cfRule type="containsText" dxfId="4" priority="2" operator="containsText" text="后续保留"/>
    <x:cfRule type="containsText" dxfId="5" priority="3" operator="containsText" text="新增替换"/>
  </x:conditionalFormatting>
  <x:pageMargins left="0.7" right="0.7" top="0.75" bottom="0.75" header="0.3" footer="0.3"/>
</x:worksheet>
</file>