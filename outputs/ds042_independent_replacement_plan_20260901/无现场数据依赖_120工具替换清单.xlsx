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fa764f621845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ea36d924c4df4fb3"/>
    <x:sheet xmlns:r="http://schemas.openxmlformats.org/officeDocument/2006/relationships" name="延期项20" sheetId="2" r:id="R52046e73d1814c02"/>
    <x:sheet xmlns:r="http://schemas.openxmlformats.org/officeDocument/2006/relationships" name="后续保留9" sheetId="3" r:id="R40fc0ca356914585"/>
    <x:sheet xmlns:r="http://schemas.openxmlformats.org/officeDocument/2006/relationships" name="新增替换14" sheetId="4" r:id="R0ee28584436743f4"/>
    <x:sheet xmlns:r="http://schemas.openxmlformats.org/officeDocument/2006/relationships" name="最终120路线" sheetId="5" r:id="R51e60a944a2146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333b0111074490" /><Relationship Type="http://schemas.openxmlformats.org/officeDocument/2006/relationships/theme" Target="/xl/theme/theme1.xml" Id="R7ad937da18d74cb6" /><Relationship Type="http://schemas.openxmlformats.org/officeDocument/2006/relationships/sharedStrings" Target="/xl/sharedStrings.xml" Id="Ref575057b2c44e81" /><Relationship Type="http://schemas.openxmlformats.org/officeDocument/2006/relationships/worksheet" Target="/xl/worksheets/sheet1.xml" Id="Rea36d924c4df4fb3" /><Relationship Type="http://schemas.openxmlformats.org/officeDocument/2006/relationships/worksheet" Target="/xl/worksheets/sheet2.xml" Id="R52046e73d1814c02" /><Relationship Type="http://schemas.openxmlformats.org/officeDocument/2006/relationships/worksheet" Target="/xl/worksheets/sheet3.xml" Id="R40fc0ca356914585" /><Relationship Type="http://schemas.openxmlformats.org/officeDocument/2006/relationships/worksheet" Target="/xl/worksheets/sheet4.xml" Id="R0ee28584436743f4" /><Relationship Type="http://schemas.openxmlformats.org/officeDocument/2006/relationships/worksheet" Target="/xl/worksheets/sheet5.xml" Id="R51e60a944a214602" /></Relationships>
</file>

<file path=xl/tables/table1.xml><?xml version="1.0" encoding="utf-8"?>
<x:table xmlns:x="http://schemas.openxmlformats.org/spreadsheetml/2006/main" id="1" name="RetainedTools13" displayName="RetainedTools13" ref="A1:P14" headerRowCount="1" totalsRowCount="0" totalsRowShown="0">
  <x:tableColumns count="16">
    <x:tableColumn id="1" name="顺序"/>
    <x:tableColumn id="2" name="运行时ID"/>
    <x:tableColumn id="3" name="目录ID"/>
    <x:tableColumn id="4" name="场景"/>
    <x:tableColumn id="5" name="工具名称"/>
    <x:tableColumn id="6" name="调整后方法"/>
    <x:tableColumn id="7" name="主要输入"/>
    <x:tableColumn id="8" name="主要输出"/>
    <x:tableColumn id="9" name="调整后数据策略"/>
    <x:tableColumn id="10" name="现场数据依赖"/>
    <x:tableColumn id="11" name="训练/权重"/>
    <x:tableColumn id="12" name="依据"/>
    <x:tableColumn id="13" name="工具依赖"/>
    <x:tableColumn id="14" name="难度"/>
    <x:tableColumn id="15" name="相对原表调整"/>
    <x:tableColumn id="16" name="API函数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80b7e541aed43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b861071；P1-W16新增F009、F011、F014、G003共4项后已实现109项，既有105项实现保持原样。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当前已实现（累计）</x:v>
      </x:c>
      <x:c r="B6" s="20" t="n">
        <x:f>COUNTIF('最终120路线'!$D$2:$D$121,"已实现")</x:f>
        <x:v>109</x:v>
      </x:c>
      <x:c r="D6" s="27" t="str">
        <x:v>1. 已实现109项不改ID、不撤销资格；P1-W16新增F009、F011、F014、G003共4项。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91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29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COUNTA('后续保留9'!$A$2:$A$10)</x:f>
        <x:v>9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2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11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计数闭合：109 已实现 + 9 后续保留 + 2 剩余新增替换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G004</x:v>
      </x:c>
      <x:c r="C2" s="18" t="str">
        <x:v>G004</x:v>
      </x:c>
      <x:c r="D2" s="18" t="str">
        <x:v>仿真/优化/智能体支撑</x:v>
      </x:c>
      <x:c r="E2" s="18" t="str">
        <x:v>反应ODE求解</x:v>
      </x:c>
      <x:c r="F2" s="18" t="str">
        <x:v>刚性/非刚性ODE自适应积分</x:v>
      </x:c>
      <x:c r="G2" s="18" t="str">
        <x:v>反应网络、速率、初值、时间区间</x:v>
      </x:c>
      <x:c r="H2" s="18" t="str">
        <x:v>状态轨迹、事件、收敛信息</x:v>
      </x:c>
      <x:c r="I2" s="18" t="str">
        <x:v>显式反应网络、速率表达式和初值</x:v>
      </x:c>
      <x:c r="J2" s="18" t="str">
        <x:v>否</x:v>
      </x:c>
      <x:c r="K2" s="18" t="str">
        <x:v>否</x:v>
      </x:c>
      <x:c r="L2" s="18" t="str">
        <x:v>自适应刚性/非刚性ODE积分</x:v>
      </x:c>
      <x:c r="M2" s="18" t="str">
        <x:v>C001,G002</x:v>
      </x:c>
      <x:c r="N2" s="18" t="str">
        <x:v>低</x:v>
      </x:c>
      <x:c r="O2" s="18" t="str">
        <x:v>纯数值求解，不训练</x:v>
      </x:c>
      <x:c r="P2" s="18" t="str">
        <x:v>solve_reaction_ode</x:v>
      </x:c>
    </x:row>
    <x:row r="3" ht="42" hidden="0" customHeight="1">
      <x:c r="A3" s="18" t="n">
        <x:v>2</x:v>
      </x:c>
      <x:c r="B3" s="18" t="str">
        <x:v>G005</x:v>
      </x:c>
      <x:c r="C3" s="18" t="str">
        <x:v>G005</x:v>
      </x:c>
      <x:c r="D3" s="18" t="str">
        <x:v>仿真/优化/智能体支撑</x:v>
      </x:c>
      <x:c r="E3" s="18" t="str">
        <x:v>CFD参数化案例生成</x:v>
      </x:c>
      <x:c r="F3" s="18" t="str">
        <x:v>模板渲染+参数/边界条件校验</x:v>
      </x:c>
      <x:c r="G3" s="18" t="str">
        <x:v>几何模板、物性、工况、求解器设置</x:v>
      </x:c>
      <x:c r="H3" s="18" t="str">
        <x:v>可运行CFD案例目录、manifest</x:v>
      </x:c>
      <x:c r="I3" s="18" t="str">
        <x:v>调用方显式提交几何模板、物性和工况</x:v>
      </x:c>
      <x:c r="J3" s="18" t="str">
        <x:v>否</x:v>
      </x:c>
      <x:c r="K3" s="18" t="str">
        <x:v>否</x:v>
      </x:c>
      <x:c r="L3" s="18" t="str">
        <x:v>OpenFOAM案例模板与schema校验</x:v>
      </x:c>
      <x:c r="M3" s="18" t="str">
        <x:v>G001,G002,G013</x:v>
      </x:c>
      <x:c r="N3" s="18" t="str">
        <x:v>高</x:v>
      </x:c>
      <x:c r="O3" s="18" t="str">
        <x:v>DS042从必需来源中删除</x:v>
      </x:c>
      <x:c r="P3" s="18" t="str">
        <x:v>generate_cfd_case</x:v>
      </x:c>
    </x:row>
    <x:row r="4" ht="42" hidden="0" customHeight="1">
      <x:c r="A4" s="18" t="n">
        <x:v>3</x:v>
      </x:c>
      <x:c r="B4" s="18" t="str">
        <x:v>G006</x:v>
      </x:c>
      <x:c r="C4" s="18" t="str">
        <x:v>G006</x:v>
      </x:c>
      <x:c r="D4" s="18" t="str">
        <x:v>仿真/优化/智能体支撑</x:v>
      </x:c>
      <x:c r="E4" s="18" t="str">
        <x:v>参数化仿真批处理</x:v>
      </x:c>
      <x:c r="F4" s="18" t="str">
        <x:v>参数网格/试验设计+容器队列+失败重试</x:v>
      </x:c>
      <x:c r="G4" s="18" t="str">
        <x:v>案例模板、参数空间、资源配额</x:v>
      </x:c>
      <x:c r="H4" s="18" t="str">
        <x:v>运行状态、结果索引、失败原因</x:v>
      </x:c>
      <x:c r="I4" s="18" t="str">
        <x:v>显式参数空间、案例模板和资源配额</x:v>
      </x:c>
      <x:c r="J4" s="18" t="str">
        <x:v>否</x:v>
      </x:c>
      <x:c r="K4" s="18" t="str">
        <x:v>否</x:v>
      </x:c>
      <x:c r="L4" s="18" t="str">
        <x:v>可复现参数网格、运行manifest和失败重试</x:v>
      </x:c>
      <x:c r="M4" s="18" t="str">
        <x:v>G005,G013</x:v>
      </x:c>
      <x:c r="N4" s="18" t="str">
        <x:v>高</x:v>
      </x:c>
      <x:c r="O4" s="18" t="str">
        <x:v>不读取现场数据；只编排批准案例</x:v>
      </x:c>
      <x:c r="P4" s="18" t="str">
        <x:v>run_parametric_simulation_batch</x:v>
      </x:c>
    </x:row>
    <x:row r="5" ht="42" hidden="0" customHeight="1">
      <x:c r="A5" s="18" t="n">
        <x:v>4</x:v>
      </x:c>
      <x:c r="B5" s="18" t="str">
        <x:v>G008</x:v>
      </x:c>
      <x:c r="C5" s="18" t="str">
        <x:v>G008</x:v>
      </x:c>
      <x:c r="D5" s="18" t="str">
        <x:v>仿真/优化/智能体支撑</x:v>
      </x:c>
      <x:c r="E5" s="18" t="str">
        <x:v>插值与查表服务</x:v>
      </x:c>
      <x:c r="F5" s="18" t="str">
        <x:v>多维规则网格/散点插值+缓存</x:v>
      </x:c>
      <x:c r="G5" s="18" t="str">
        <x:v>查询点、表格版本、外推策略</x:v>
      </x:c>
      <x:c r="H5" s="18" t="str">
        <x:v>插值值、距离、是否外推</x:v>
      </x:c>
      <x:c r="I5" s="18" t="str">
        <x:v>调用方上传或选择版本化查找表</x:v>
      </x:c>
      <x:c r="J5" s="18" t="str">
        <x:v>否</x:v>
      </x:c>
      <x:c r="K5" s="18" t="str">
        <x:v>否</x:v>
      </x:c>
      <x:c r="L5" s="18" t="str">
        <x:v>规则网格/散点插值和外推距离</x:v>
      </x:c>
      <x:c r="M5" s="18" t="str">
        <x:v>A004</x:v>
      </x:c>
      <x:c r="N5" s="18" t="str">
        <x:v>中</x:v>
      </x:c>
      <x:c r="O5" s="18" t="str">
        <x:v>不连接企业实时表</x:v>
      </x:c>
      <x:c r="P5" s="18" t="str">
        <x:v>interpolate_lookup_table</x:v>
      </x:c>
    </x:row>
    <x:row r="6" ht="42" hidden="0" customHeight="1">
      <x:c r="A6" s="18" t="n">
        <x:v>5</x:v>
      </x:c>
      <x:c r="B6" s="18" t="str">
        <x:v>G009</x:v>
      </x:c>
      <x:c r="C6" s="18" t="str">
        <x:v>G009</x:v>
      </x:c>
      <x:c r="D6" s="18" t="str">
        <x:v>仿真/优化/智能体支撑</x:v>
      </x:c>
      <x:c r="E6" s="18" t="str">
        <x:v>敏感性分析</x:v>
      </x:c>
      <x:c r="F6" s="18" t="str">
        <x:v>局部导数、Morris/Sobol可选</x:v>
      </x:c>
      <x:c r="G6" s="18" t="str">
        <x:v>模型、参数范围、采样预算</x:v>
      </x:c>
      <x:c r="H6" s="18" t="str">
        <x:v>敏感度排序、交互效应</x:v>
      </x:c>
      <x:c r="I6" s="18" t="str">
        <x:v>显式模型函数、参数范围和固定采样方案</x:v>
      </x:c>
      <x:c r="J6" s="18" t="str">
        <x:v>否</x:v>
      </x:c>
      <x:c r="K6" s="18" t="str">
        <x:v>否</x:v>
      </x:c>
      <x:c r="L6" s="18" t="str">
        <x:v>局部导数、Morris/Sobol</x:v>
      </x:c>
      <x:c r="M6" s="18" t="str">
        <x:v>A010,G008</x:v>
      </x:c>
      <x:c r="N6" s="18" t="str">
        <x:v>中</x:v>
      </x:c>
      <x:c r="O6" s="18" t="str">
        <x:v>离线分析，不使用历史成功率</x:v>
      </x:c>
      <x:c r="P6" s="18" t="str">
        <x:v>run_sensitivity_analysis</x:v>
      </x:c>
    </x:row>
    <x:row r="7" ht="42" hidden="0" customHeight="1">
      <x:c r="A7" s="18" t="n">
        <x:v>6</x:v>
      </x:c>
      <x:c r="B7" s="18" t="str">
        <x:v>G010</x:v>
      </x:c>
      <x:c r="C7" s="18" t="str">
        <x:v>G010</x:v>
      </x:c>
      <x:c r="D7" s="18" t="str">
        <x:v>仿真/优化/智能体支撑</x:v>
      </x:c>
      <x:c r="E7" s="18" t="str">
        <x:v>Monte Carlo不确定度分析</x:v>
      </x:c>
      <x:c r="F7" s="18" t="str">
        <x:v>输入分布采样+模型批量执行</x:v>
      </x:c>
      <x:c r="G7" s="18" t="str">
        <x:v>模型、输入分布、相关性、样本数</x:v>
      </x:c>
      <x:c r="H7" s="18" t="str">
        <x:v>输出分布、区间、失效概率</x:v>
      </x:c>
      <x:c r="I7" s="18" t="str">
        <x:v>显式概率分布、相关性、样本数和可调用模型</x:v>
      </x:c>
      <x:c r="J7" s="18" t="str">
        <x:v>否</x:v>
      </x:c>
      <x:c r="K7" s="18" t="str">
        <x:v>否</x:v>
      </x:c>
      <x:c r="L7" s="18" t="str">
        <x:v>固定种子Monte Carlo与收敛诊断</x:v>
      </x:c>
      <x:c r="M7" s="18" t="str">
        <x:v>A010,G006</x:v>
      </x:c>
      <x:c r="N7" s="18" t="str">
        <x:v>中</x:v>
      </x:c>
      <x:c r="O7" s="18" t="str">
        <x:v>离线不确定度分析</x:v>
      </x:c>
      <x:c r="P7" s="18" t="str">
        <x:v>run_monte_carlo_uncertainty</x:v>
      </x:c>
    </x:row>
    <x:row r="8" ht="42" hidden="0" customHeight="1">
      <x:c r="A8" s="18" t="n">
        <x:v>7</x:v>
      </x:c>
      <x:c r="B8" s="18" t="str">
        <x:v>G011</x:v>
      </x:c>
      <x:c r="C8" s="18" t="str">
        <x:v>G011</x:v>
      </x:c>
      <x:c r="D8" s="18" t="str">
        <x:v>仿真/优化/智能体支撑</x:v>
      </x:c>
      <x:c r="E8" s="18" t="str">
        <x:v>贝叶斯优化</x:v>
      </x:c>
      <x:c r="F8" s="18" t="str">
        <x:v>离线贝叶斯优化；目标仅来自显式函数或已注册工具</x:v>
      </x:c>
      <x:c r="G8" s="18" t="str">
        <x:v>目标函数、约束、变量范围、预算</x:v>
      </x:c>
      <x:c r="H8" s="18" t="str">
        <x:v>推荐下一组参数、最优历史、置信度</x:v>
      </x:c>
      <x:c r="I8" s="18" t="str">
        <x:v>显式变量域、目标函数、约束和评估预算</x:v>
      </x:c>
      <x:c r="J8" s="18" t="str">
        <x:v>否</x:v>
      </x:c>
      <x:c r="K8" s="18" t="str">
        <x:v>否</x:v>
      </x:c>
      <x:c r="L8" s="18" t="str">
        <x:v>高斯过程/TPE采集函数</x:v>
      </x:c>
      <x:c r="M8" s="18" t="str">
        <x:v>G009,G013</x:v>
      </x:c>
      <x:c r="N8" s="18" t="str">
        <x:v>高</x:v>
      </x:c>
      <x:c r="O8" s="18" t="str">
        <x:v>‘在线’改为离线序贯评估，不连接生产过程</x:v>
      </x:c>
      <x:c r="P8" s="18" t="str">
        <x:v>run_bayesian_optimization</x:v>
      </x:c>
    </x:row>
    <x:row r="9" ht="42" hidden="0" customHeight="1">
      <x:c r="A9" s="18" t="n">
        <x:v>8</x:v>
      </x:c>
      <x:c r="B9" s="18" t="str">
        <x:v>G012</x:v>
      </x:c>
      <x:c r="C9" s="18" t="str">
        <x:v>G012</x:v>
      </x:c>
      <x:c r="D9" s="18" t="str">
        <x:v>仿真/优化/智能体支撑</x:v>
      </x:c>
      <x:c r="E9" s="18" t="str">
        <x:v>多目标优化</x:v>
      </x:c>
      <x:c r="F9" s="18" t="str">
        <x:v>NSGA-II/ε约束/Pyomo</x:v>
      </x:c>
      <x:c r="G9" s="18" t="str">
        <x:v>目标、约束、变量、权重偏好</x:v>
      </x:c>
      <x:c r="H9" s="18" t="str">
        <x:v>Pareto解集、折中解、约束状态</x:v>
      </x:c>
      <x:c r="I9" s="18" t="str">
        <x:v>显式目标、约束、变量范围和偏好</x:v>
      </x:c>
      <x:c r="J9" s="18" t="str">
        <x:v>否</x:v>
      </x:c>
      <x:c r="K9" s="18" t="str">
        <x:v>否</x:v>
      </x:c>
      <x:c r="L9" s="18" t="str">
        <x:v>NSGA-II/ε约束/Pyomo</x:v>
      </x:c>
      <x:c r="M9" s="18" t="str">
        <x:v>G009,G013</x:v>
      </x:c>
      <x:c r="N9" s="18" t="str">
        <x:v>高</x:v>
      </x:c>
      <x:c r="O9" s="18" t="str">
        <x:v>不读取企业历史数据</x:v>
      </x:c>
      <x:c r="P9" s="18" t="str">
        <x:v>run_multiobjective_optimization</x:v>
      </x:c>
    </x:row>
    <x:row r="10" ht="42" hidden="0" customHeight="1">
      <x:c r="A10" s="18" t="n">
        <x:v>9</x:v>
      </x:c>
      <x:c r="B10" s="18" t="str">
        <x:v>G013</x:v>
      </x:c>
      <x:c r="C10" s="18" t="str">
        <x:v>G013</x:v>
      </x:c>
      <x:c r="D10" s="18" t="str">
        <x:v>仿真/优化/智能体支撑</x:v>
      </x:c>
      <x:c r="E10" s="18" t="str">
        <x:v>约束规则校验器</x:v>
      </x:c>
      <x:c r="F10" s="18" t="str">
        <x:v>JSON规则/表达式树/物料能量与工艺边界</x:v>
      </x:c>
      <x:c r="G10" s="18" t="str">
        <x:v>模型输入输出、上下文、规则版本</x:v>
      </x:c>
      <x:c r="H10" s="18" t="str">
        <x:v>通过/失败、违反规则、修复建议</x:v>
      </x:c>
      <x:c r="I10" s="18" t="str">
        <x:v>显式模型输入输出与版本化JSON规则</x:v>
      </x:c>
      <x:c r="J10" s="18" t="str">
        <x:v>否</x:v>
      </x:c>
      <x:c r="K10" s="18" t="str">
        <x:v>否</x:v>
      </x:c>
      <x:c r="L10" s="18" t="str">
        <x:v>表达式树、物料/能量与工艺边界</x:v>
      </x:c>
      <x:c r="M10" s="18" t="str">
        <x:v>A005</x:v>
      </x:c>
      <x:c r="N10" s="18" t="str">
        <x:v>高</x:v>
      </x:c>
      <x:c r="O10" s="18" t="str">
        <x:v>规则由仓库版本化，不从专家历史自动学习</x:v>
      </x:c>
      <x:c r="P10" s="18" t="str">
        <x:v>validate_constraints</x:v>
      </x:c>
    </x:row>
    <x:row r="11" ht="42" hidden="0" customHeight="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</x:row>
    <x:row r="12" ht="42" hidden="0" customHeight="1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</x:row>
    <x:row r="13" ht="42" hidden="0" customHeight="1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</x:row>
    <x:row r="14" ht="42" hidden="0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ht="42" hidden="0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</x:row>
    <x:row r="16" ht="42" hidden="0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</x:row>
    <x:row r="17" ht="42" hidden="0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</x:row>
    <x:row r="18" ht="42" hidden="0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</x:row>
    <x:row r="19" ht="42" hidden="0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42" hidden="0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42" hidden="0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42" hidden="0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42" hidden="0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42" hidden="0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42" hidden="0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42" hidden="0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  <x:tableParts count="1">
    <x:tablePart xmlns:r="http://schemas.openxmlformats.org/officeDocument/2006/relationships" r:id="R580b7e541aed43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熔渣/液态金属黏度估算</x:v>
      </x:c>
      <x:c r="D83" s="18" t="str">
        <x:v>已实现</x:v>
      </x:c>
      <x:c r="E83" s="18" t="str">
        <x:v>P1-W13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数据库版本化Urbain/Hirai关联式；调用方显式输入组成/物性</x:v>
      </x:c>
      <x:c r="J83" s="18" t="str">
        <x:v>否</x:v>
      </x:c>
      <x:c r="K83" s="18" t="str">
        <x:v>否</x:v>
      </x:c>
      <x:c r="L83" s="18" t="str">
        <x:v>metallurgy.catalog.c008.melt_viscosity.v1</x:v>
      </x:c>
      <x:c r="M83" s="18" t="str">
        <x:v>same</x:v>
      </x:c>
    </x:row>
    <x:row r="84" ht="42" hidden="0" customHeight="1">
      <x:c r="A84" s="18" t="n">
        <x:v>83</x:v>
      </x:c>
      <x:c r="B84" s="18" t="str">
        <x:v>D018</x:v>
      </x:c>
      <x:c r="C84" s="18" t="str">
        <x:v>BOF静态分段供氧制度优化</x:v>
      </x:c>
      <x:c r="D84" s="18" t="str">
        <x:v>已实现</x:v>
      </x:c>
      <x:c r="E84" s="18" t="str">
        <x:v>P1-W13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调用方显式提供总氧量、阶段边界/流量/枪位；静态LP</x:v>
      </x:c>
      <x:c r="J84" s="18" t="str">
        <x:v>否</x:v>
      </x:c>
      <x:c r="K84" s="18" t="str">
        <x:v>否</x:v>
      </x:c>
      <x:c r="L84" s="18" t="str">
        <x:v>metallurgy.catalog.d018.bof_blowing_schedule_optimization.v1</x:v>
      </x:c>
      <x:c r="M84" s="18" t="str">
        <x:v>same</x:v>
      </x:c>
    </x:row>
    <x:row r="85" ht="42" hidden="0" customHeight="1">
      <x:c r="A85" s="18" t="n">
        <x:v>84</x:v>
      </x:c>
      <x:c r="B85" s="18" t="str">
        <x:v>D019</x:v>
      </x:c>
      <x:c r="C85" s="18" t="str">
        <x:v>多合金最小成本补加优化</x:v>
      </x:c>
      <x:c r="D85" s="18" t="str">
        <x:v>已实现</x:v>
      </x:c>
      <x:c r="E85" s="18" t="str">
        <x:v>P1-W13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调用方显式提供钢液/目标/合金/成本/收得率；LP/MILP</x:v>
      </x:c>
      <x:c r="J85" s="18" t="str">
        <x:v>否</x:v>
      </x:c>
      <x:c r="K85" s="18" t="str">
        <x:v>否</x:v>
      </x:c>
      <x:c r="L85" s="18" t="str">
        <x:v>metallurgy.catalog.d019.alloy_addition_optimization.v1</x:v>
      </x:c>
      <x:c r="M85" s="18" t="str">
        <x:v>same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冷却剂/废钢静态加入优化</x:v>
      </x:c>
      <x:c r="D86" s="18" t="str">
        <x:v>已实现</x:v>
      </x:c>
      <x:c r="E86" s="18" t="str">
        <x:v>P1-W13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调用方显式提供热状态/材料冷却能力/成本；LP/MILP</x:v>
      </x:c>
      <x:c r="J86" s="18" t="str">
        <x:v>否</x:v>
      </x:c>
      <x:c r="K86" s="18" t="str">
        <x:v>否</x:v>
      </x:c>
      <x:c r="L86" s="18" t="str">
        <x:v>metallurgy.catalog.d020.coolant_scrap_optimization.v1</x:v>
      </x:c>
      <x:c r="M86" s="18" t="str">
        <x:v>same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已实现</x:v>
      </x:c>
      <x:c r="E87" s="18" t="str">
        <x:v>P1-W14</x:v>
      </x:c>
      <x:c r="F87" s="18" t="str">
        <x:v>E106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metallurgy.catalog.e006.complete_rist_operating_line.v1</x:v>
      </x:c>
      <x:c r="M87" s="18" t="str">
        <x:v>catalog_equivalent_different_runtime_code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已实现</x:v>
      </x:c>
      <x:c r="E88" s="18" t="str">
        <x:v>P1-W14</x:v>
      </x:c>
      <x:c r="F88" s="18" t="str">
        <x:v>E109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metallurgy.catalog.e009.complete_pci_replacement.v1</x:v>
      </x:c>
      <x:c r="M88" s="18" t="str">
        <x:v>catalog_equivalent_different_runtime_code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已实现</x:v>
      </x:c>
      <x:c r="E89" s="18" t="str">
        <x:v>P1-W14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metallurgy.catalog.e010.bf_top_gas_composition.v1</x:v>
      </x:c>
      <x:c r="M89" s="18" t="str">
        <x:v>same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已实现</x:v>
      </x:c>
      <x:c r="E90" s="18" t="str">
        <x:v>P1-W14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metallurgy.catalog.e013.raceway_adiabatic_flame_temperature.v1</x:v>
      </x:c>
      <x:c r="M90" s="18" t="str">
        <x:v>same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已实现</x:v>
      </x:c>
      <x:c r="E91" s="18" t="str">
        <x:v>P1-W15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调用方显式提供单工况绝压、标况风量、平均物性、截面积和料柱高度</x:v>
      </x:c>
      <x:c r="J91" s="18" t="str">
        <x:v>否</x:v>
      </x:c>
      <x:c r="K91" s="18" t="str">
        <x:v>否</x:v>
      </x:c>
      <x:c r="L91" s="18" t="str">
        <x:v>metallurgy.catalog.e015.bf_permeability_resistance_index.v1</x:v>
      </x:c>
      <x:c r="M91" s="18" t="str">
        <x:v>单快照归一化阻力；不读取连续时序、不提供炉况预警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已实现</x:v>
      </x:c>
      <x:c r="E92" s="18" t="str">
        <x:v>P1-W15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显式活动数据；PostgreSQL只读查询公开版本化IPCC/MEE因子</x:v>
      </x:c>
      <x:c r="J92" s="18" t="str">
        <x:v>否</x:v>
      </x:c>
      <x:c r="K92" s="18" t="str">
        <x:v>否</x:v>
      </x:c>
      <x:c r="L92" s="18" t="str">
        <x:v>metallurgy.catalog.e020.bf_carbon_footprint.v1</x:v>
      </x:c>
      <x:c r="M92" s="18" t="str">
        <x:v>透明活动因子账本；不读取企业生产数据库，不替代认证LCA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已实现</x:v>
      </x:c>
      <x:c r="E93" s="18" t="str">
        <x:v>P1-W15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显式断面、拉速、钢密度和目标热负荷/比水量参数</x:v>
      </x:c>
      <x:c r="J93" s="18" t="str">
        <x:v>否</x:v>
      </x:c>
      <x:c r="K93" s="18" t="str">
        <x:v>否</x:v>
      </x:c>
      <x:c r="L93" s="18" t="str">
        <x:v>metallurgy.catalog.f008.total_secondary_cooling_water.v1</x:v>
      </x:c>
      <x:c r="M93" s="18" t="str">
        <x:v>稳态总量级；不从历史浇次拟合参数、不分区配水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已实现</x:v>
      </x:c>
      <x:c r="E94" s="18" t="str">
        <x:v>P1-W16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显式总水量、分区热需求、水量上下限和水侧热物性</x:v>
      </x:c>
      <x:c r="J94" s="18" t="str">
        <x:v>否</x:v>
      </x:c>
      <x:c r="K94" s="18" t="str">
        <x:v>否</x:v>
      </x:c>
      <x:c r="L94" s="18" t="str">
        <x:v>metallurgy.catalog.f009.secondary_cooling_zone_allocation.v1</x:v>
      </x:c>
      <x:c r="M94" s="18" t="str">
        <x:v>有界比例投影与显热校核；离线方案，不连接阀门或PLC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已实现</x:v>
      </x:c>
      <x:c r="E95" s="18" t="str">
        <x:v>P1-W16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显式设备、停留时间、坯壳平方根律和冷却功率约束</x:v>
      </x:c>
      <x:c r="J95" s="18" t="str">
        <x:v>否</x:v>
      </x:c>
      <x:c r="K95" s="18" t="str">
        <x:v>否</x:v>
      </x:c>
      <x:c r="L95" s="18" t="str">
        <x:v>metallurgy.catalog.f011.maximum_feasible_casting_speed.v1</x:v>
      </x:c>
      <x:c r="M95" s="18" t="str">
        <x:v>解析求最大可行拉速；不使用历史质量标签，不直接下发拉速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已实现</x:v>
      </x:c>
      <x:c r="E96" s="18" t="str">
        <x:v>P1-W16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显式分层温度、模量、热膨胀系数、屈服和约束模式</x:v>
      </x:c>
      <x:c r="J96" s="18" t="str">
        <x:v>否</x:v>
      </x:c>
      <x:c r="K96" s="18" t="str">
        <x:v>否</x:v>
      </x:c>
      <x:c r="L96" s="18" t="str">
        <x:v>metallurgy.catalog.f014.layered_thermal_stress.v1</x:v>
      </x:c>
      <x:c r="M96" s="18" t="str">
        <x:v>一维平面应力弹性—理想塑性；不声称裂纹预测或有限元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已实现</x:v>
      </x:c>
      <x:c r="E97" s="18" t="str">
        <x:v>P1-W15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显式球形夹杂尺寸/密度、钢液密度/黏度、距离和均匀竖直速度</x:v>
      </x:c>
      <x:c r="J97" s="18" t="str">
        <x:v>否</x:v>
      </x:c>
      <x:c r="K97" s="18" t="str">
        <x:v>否</x:v>
      </x:c>
      <x:c r="L97" s="18" t="str">
        <x:v>metallurgy.catalog.f018.inclusion_float_time.v1</x:v>
      </x:c>
      <x:c r="M97" s="18" t="str">
        <x:v>Stokes/Schiller–Naumann运动学；不使用质量检测标签、不声称捕获概率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已实现</x:v>
      </x:c>
      <x:c r="E98" s="18" t="str">
        <x:v>P1-W16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显式几何、常物性、热源、初温、边界和稳定时间步</x:v>
      </x:c>
      <x:c r="J98" s="18" t="str">
        <x:v>否</x:v>
      </x:c>
      <x:c r="K98" s="18" t="str">
        <x:v>否</x:v>
      </x:c>
      <x:c r="L98" s="18" t="str">
        <x:v>metallurgy.catalog.g003.one_dimensional_heat_pde.v1</x:v>
      </x:c>
      <x:c r="M98" s="18" t="str">
        <x:v>显式单元中心有限体积与能量闭合；不处理相变或温变物性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后续保留</x:v>
      </x:c>
      <x:c r="E99" s="18" t="str">
        <x:v>待分波实施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显式反应网络、速率表达式和初值</x:v>
      </x:c>
      <x:c r="J99" s="18" t="str">
        <x:v>否</x:v>
      </x:c>
      <x:c r="K99" s="18" t="str">
        <x:v>否</x:v>
      </x:c>
      <x:c r="L99" s="18" t="str">
        <x:v>planned.g004.v1</x:v>
      </x:c>
      <x:c r="M99" s="18" t="str">
        <x:v>纯数值求解，不训练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后续保留</x:v>
      </x:c>
      <x:c r="E102" s="18" t="str">
        <x:v>待分波实施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调用方上传或选择版本化查找表</x:v>
      </x:c>
      <x:c r="J102" s="18" t="str">
        <x:v>否</x:v>
      </x:c>
      <x:c r="K102" s="18" t="str">
        <x:v>否</x:v>
      </x:c>
      <x:c r="L102" s="18" t="str">
        <x:v>planned.g008.v1</x:v>
      </x:c>
      <x:c r="M102" s="18" t="str">
        <x:v>不连接企业实时表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后续保留</x:v>
      </x:c>
      <x:c r="E103" s="18" t="str">
        <x:v>待分波实施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显式模型函数、参数范围和固定采样方案</x:v>
      </x:c>
      <x:c r="J103" s="18" t="str">
        <x:v>否</x:v>
      </x:c>
      <x:c r="K103" s="18" t="str">
        <x:v>否</x:v>
      </x:c>
      <x:c r="L103" s="18" t="str">
        <x:v>planned.g009.v1</x:v>
      </x:c>
      <x:c r="M103" s="18" t="str">
        <x:v>离线分析，不使用历史成功率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后续保留</x:v>
      </x:c>
      <x:c r="E104" s="18" t="str">
        <x:v>待分波实施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显式概率分布、相关性、样本数和可调用模型</x:v>
      </x:c>
      <x:c r="J104" s="18" t="str">
        <x:v>否</x:v>
      </x:c>
      <x:c r="K104" s="18" t="str">
        <x:v>否</x:v>
      </x:c>
      <x:c r="L104" s="18" t="str">
        <x:v>planned.g010.v1</x:v>
      </x:c>
      <x:c r="M104" s="18" t="str">
        <x:v>离线不确定度分析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